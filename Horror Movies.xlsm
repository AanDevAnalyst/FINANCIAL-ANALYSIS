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560\Desktop\Python Programmer\Videos\DATA ANALYST\Data Analyst Project\Financial-Analysis-Project\"/>
    </mc:Choice>
  </mc:AlternateContent>
  <xr:revisionPtr revIDLastSave="0" documentId="8_{0B48571A-0F2E-45E8-B8DF-FCE17F4A10BA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Analzed Data" sheetId="1" r:id="rId1"/>
    <sheet name="Financial Analysis" sheetId="3" r:id="rId2"/>
  </sheets>
  <definedNames>
    <definedName name="_xlnm._FilterDatabase" localSheetId="0" hidden="1">'Analzed Data'!$A$1:$H$638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3" l="1"/>
  <c r="K13" i="3"/>
  <c r="K24" i="3"/>
  <c r="K44" i="3"/>
  <c r="K45" i="3"/>
  <c r="K56" i="3"/>
  <c r="K76" i="3"/>
  <c r="K77" i="3"/>
  <c r="K88" i="3"/>
  <c r="K108" i="3"/>
  <c r="K109" i="3"/>
  <c r="K120" i="3"/>
  <c r="K140" i="3"/>
  <c r="K141" i="3"/>
  <c r="K152" i="3"/>
  <c r="K172" i="3"/>
  <c r="K173" i="3"/>
  <c r="K184" i="3"/>
  <c r="K204" i="3"/>
  <c r="K205" i="3"/>
  <c r="K216" i="3"/>
  <c r="K236" i="3"/>
  <c r="K237" i="3"/>
  <c r="K248" i="3"/>
  <c r="K268" i="3"/>
  <c r="K269" i="3"/>
  <c r="K280" i="3"/>
  <c r="K300" i="3"/>
  <c r="K301" i="3"/>
  <c r="K312" i="3"/>
  <c r="K332" i="3"/>
  <c r="K333" i="3"/>
  <c r="K343" i="3"/>
  <c r="K351" i="3"/>
  <c r="K359" i="3"/>
  <c r="K367" i="3"/>
  <c r="K375" i="3"/>
  <c r="K383" i="3"/>
  <c r="K391" i="3"/>
  <c r="K399" i="3"/>
  <c r="K407" i="3"/>
  <c r="K415" i="3"/>
  <c r="K423" i="3"/>
  <c r="K435" i="3"/>
  <c r="K439" i="3"/>
  <c r="K443" i="3"/>
  <c r="K447" i="3"/>
  <c r="K451" i="3"/>
  <c r="K455" i="3"/>
  <c r="K459" i="3"/>
  <c r="K463" i="3"/>
  <c r="K467" i="3"/>
  <c r="K471" i="3"/>
  <c r="K475" i="3"/>
  <c r="K479" i="3"/>
  <c r="K483" i="3"/>
  <c r="K487" i="3"/>
  <c r="K491" i="3"/>
  <c r="K495" i="3"/>
  <c r="K499" i="3"/>
  <c r="K503" i="3"/>
  <c r="K507" i="3"/>
  <c r="K511" i="3"/>
  <c r="K515" i="3"/>
  <c r="K519" i="3"/>
  <c r="K523" i="3"/>
  <c r="K527" i="3"/>
  <c r="K531" i="3"/>
  <c r="K535" i="3"/>
  <c r="K539" i="3"/>
  <c r="K543" i="3"/>
  <c r="K547" i="3"/>
  <c r="K551" i="3"/>
  <c r="K555" i="3"/>
  <c r="K559" i="3"/>
  <c r="K563" i="3"/>
  <c r="K567" i="3"/>
  <c r="K571" i="3"/>
  <c r="K575" i="3"/>
  <c r="K579" i="3"/>
  <c r="K583" i="3"/>
  <c r="K587" i="3"/>
  <c r="K591" i="3"/>
  <c r="K595" i="3"/>
  <c r="K599" i="3"/>
  <c r="K603" i="3"/>
  <c r="K607" i="3"/>
  <c r="K611" i="3"/>
  <c r="K615" i="3"/>
  <c r="K619" i="3"/>
  <c r="K623" i="3"/>
  <c r="K627" i="3"/>
  <c r="K631" i="3"/>
  <c r="K635" i="3"/>
  <c r="K2" i="3"/>
  <c r="D3" i="3"/>
  <c r="K3" i="3" s="1"/>
  <c r="D4" i="3"/>
  <c r="K4" i="3" s="1"/>
  <c r="D5" i="3"/>
  <c r="K5" i="3" s="1"/>
  <c r="D6" i="3"/>
  <c r="K6" i="3" s="1"/>
  <c r="D7" i="3"/>
  <c r="K7" i="3" s="1"/>
  <c r="D8" i="3"/>
  <c r="K8" i="3" s="1"/>
  <c r="D9" i="3"/>
  <c r="K9" i="3" s="1"/>
  <c r="D10" i="3"/>
  <c r="K10" i="3" s="1"/>
  <c r="D11" i="3"/>
  <c r="K11" i="3" s="1"/>
  <c r="D12" i="3"/>
  <c r="D13" i="3"/>
  <c r="D14" i="3"/>
  <c r="K14" i="3" s="1"/>
  <c r="D15" i="3"/>
  <c r="K15" i="3" s="1"/>
  <c r="D16" i="3"/>
  <c r="K16" i="3" s="1"/>
  <c r="D17" i="3"/>
  <c r="K17" i="3" s="1"/>
  <c r="D18" i="3"/>
  <c r="K18" i="3" s="1"/>
  <c r="D19" i="3"/>
  <c r="K19" i="3" s="1"/>
  <c r="D20" i="3"/>
  <c r="K20" i="3" s="1"/>
  <c r="D21" i="3"/>
  <c r="K21" i="3" s="1"/>
  <c r="D22" i="3"/>
  <c r="K22" i="3" s="1"/>
  <c r="D23" i="3"/>
  <c r="K23" i="3" s="1"/>
  <c r="D24" i="3"/>
  <c r="D25" i="3"/>
  <c r="K25" i="3" s="1"/>
  <c r="D26" i="3"/>
  <c r="K26" i="3" s="1"/>
  <c r="D27" i="3"/>
  <c r="K27" i="3" s="1"/>
  <c r="D28" i="3"/>
  <c r="K28" i="3" s="1"/>
  <c r="D29" i="3"/>
  <c r="K29" i="3" s="1"/>
  <c r="D30" i="3"/>
  <c r="K30" i="3" s="1"/>
  <c r="D31" i="3"/>
  <c r="K31" i="3" s="1"/>
  <c r="D32" i="3"/>
  <c r="K32" i="3" s="1"/>
  <c r="D33" i="3"/>
  <c r="K33" i="3" s="1"/>
  <c r="D34" i="3"/>
  <c r="K34" i="3" s="1"/>
  <c r="D35" i="3"/>
  <c r="K35" i="3" s="1"/>
  <c r="D36" i="3"/>
  <c r="K36" i="3" s="1"/>
  <c r="D37" i="3"/>
  <c r="K37" i="3" s="1"/>
  <c r="D38" i="3"/>
  <c r="K38" i="3" s="1"/>
  <c r="D39" i="3"/>
  <c r="K39" i="3" s="1"/>
  <c r="D40" i="3"/>
  <c r="K40" i="3" s="1"/>
  <c r="D41" i="3"/>
  <c r="K41" i="3" s="1"/>
  <c r="D42" i="3"/>
  <c r="K42" i="3" s="1"/>
  <c r="D43" i="3"/>
  <c r="K43" i="3" s="1"/>
  <c r="D44" i="3"/>
  <c r="D45" i="3"/>
  <c r="D46" i="3"/>
  <c r="K46" i="3" s="1"/>
  <c r="D47" i="3"/>
  <c r="K47" i="3" s="1"/>
  <c r="D48" i="3"/>
  <c r="K48" i="3" s="1"/>
  <c r="D49" i="3"/>
  <c r="K49" i="3" s="1"/>
  <c r="D50" i="3"/>
  <c r="K50" i="3" s="1"/>
  <c r="D51" i="3"/>
  <c r="K51" i="3" s="1"/>
  <c r="D52" i="3"/>
  <c r="K52" i="3" s="1"/>
  <c r="D53" i="3"/>
  <c r="K53" i="3" s="1"/>
  <c r="D54" i="3"/>
  <c r="K54" i="3" s="1"/>
  <c r="D55" i="3"/>
  <c r="K55" i="3" s="1"/>
  <c r="D56" i="3"/>
  <c r="D57" i="3"/>
  <c r="K57" i="3" s="1"/>
  <c r="D58" i="3"/>
  <c r="K58" i="3" s="1"/>
  <c r="D59" i="3"/>
  <c r="K59" i="3" s="1"/>
  <c r="D60" i="3"/>
  <c r="K60" i="3" s="1"/>
  <c r="D61" i="3"/>
  <c r="K61" i="3" s="1"/>
  <c r="D62" i="3"/>
  <c r="K62" i="3" s="1"/>
  <c r="D63" i="3"/>
  <c r="K63" i="3" s="1"/>
  <c r="D64" i="3"/>
  <c r="K64" i="3" s="1"/>
  <c r="D65" i="3"/>
  <c r="K65" i="3" s="1"/>
  <c r="D66" i="3"/>
  <c r="K66" i="3" s="1"/>
  <c r="D67" i="3"/>
  <c r="K67" i="3" s="1"/>
  <c r="D68" i="3"/>
  <c r="K68" i="3" s="1"/>
  <c r="D69" i="3"/>
  <c r="K69" i="3" s="1"/>
  <c r="D70" i="3"/>
  <c r="K70" i="3" s="1"/>
  <c r="D71" i="3"/>
  <c r="K71" i="3" s="1"/>
  <c r="D72" i="3"/>
  <c r="K72" i="3" s="1"/>
  <c r="D73" i="3"/>
  <c r="K73" i="3" s="1"/>
  <c r="D74" i="3"/>
  <c r="K74" i="3" s="1"/>
  <c r="D75" i="3"/>
  <c r="K75" i="3" s="1"/>
  <c r="D76" i="3"/>
  <c r="D77" i="3"/>
  <c r="D78" i="3"/>
  <c r="K78" i="3" s="1"/>
  <c r="D79" i="3"/>
  <c r="K79" i="3" s="1"/>
  <c r="D80" i="3"/>
  <c r="K80" i="3" s="1"/>
  <c r="D81" i="3"/>
  <c r="K81" i="3" s="1"/>
  <c r="D82" i="3"/>
  <c r="K82" i="3" s="1"/>
  <c r="D83" i="3"/>
  <c r="K83" i="3" s="1"/>
  <c r="D84" i="3"/>
  <c r="K84" i="3" s="1"/>
  <c r="D85" i="3"/>
  <c r="K85" i="3" s="1"/>
  <c r="D86" i="3"/>
  <c r="K86" i="3" s="1"/>
  <c r="D87" i="3"/>
  <c r="K87" i="3" s="1"/>
  <c r="D88" i="3"/>
  <c r="D89" i="3"/>
  <c r="K89" i="3" s="1"/>
  <c r="D90" i="3"/>
  <c r="K90" i="3" s="1"/>
  <c r="D91" i="3"/>
  <c r="K91" i="3" s="1"/>
  <c r="D92" i="3"/>
  <c r="K92" i="3" s="1"/>
  <c r="D93" i="3"/>
  <c r="K93" i="3" s="1"/>
  <c r="D94" i="3"/>
  <c r="K94" i="3" s="1"/>
  <c r="D95" i="3"/>
  <c r="K95" i="3" s="1"/>
  <c r="D96" i="3"/>
  <c r="K96" i="3" s="1"/>
  <c r="D97" i="3"/>
  <c r="K97" i="3" s="1"/>
  <c r="D98" i="3"/>
  <c r="K98" i="3" s="1"/>
  <c r="D99" i="3"/>
  <c r="K99" i="3" s="1"/>
  <c r="D100" i="3"/>
  <c r="K100" i="3" s="1"/>
  <c r="D101" i="3"/>
  <c r="K101" i="3" s="1"/>
  <c r="D102" i="3"/>
  <c r="K102" i="3" s="1"/>
  <c r="D103" i="3"/>
  <c r="K103" i="3" s="1"/>
  <c r="D104" i="3"/>
  <c r="K104" i="3" s="1"/>
  <c r="D105" i="3"/>
  <c r="K105" i="3" s="1"/>
  <c r="D106" i="3"/>
  <c r="K106" i="3" s="1"/>
  <c r="D107" i="3"/>
  <c r="K107" i="3" s="1"/>
  <c r="D108" i="3"/>
  <c r="D109" i="3"/>
  <c r="D110" i="3"/>
  <c r="K110" i="3" s="1"/>
  <c r="D111" i="3"/>
  <c r="K111" i="3" s="1"/>
  <c r="D112" i="3"/>
  <c r="K112" i="3" s="1"/>
  <c r="D113" i="3"/>
  <c r="K113" i="3" s="1"/>
  <c r="D114" i="3"/>
  <c r="K114" i="3" s="1"/>
  <c r="D115" i="3"/>
  <c r="K115" i="3" s="1"/>
  <c r="D116" i="3"/>
  <c r="K116" i="3" s="1"/>
  <c r="D117" i="3"/>
  <c r="K117" i="3" s="1"/>
  <c r="D118" i="3"/>
  <c r="K118" i="3" s="1"/>
  <c r="D119" i="3"/>
  <c r="K119" i="3" s="1"/>
  <c r="D120" i="3"/>
  <c r="D121" i="3"/>
  <c r="K121" i="3" s="1"/>
  <c r="D122" i="3"/>
  <c r="K122" i="3" s="1"/>
  <c r="D123" i="3"/>
  <c r="K123" i="3" s="1"/>
  <c r="D124" i="3"/>
  <c r="K124" i="3" s="1"/>
  <c r="D125" i="3"/>
  <c r="K125" i="3" s="1"/>
  <c r="D126" i="3"/>
  <c r="K126" i="3" s="1"/>
  <c r="D127" i="3"/>
  <c r="K127" i="3" s="1"/>
  <c r="D128" i="3"/>
  <c r="K128" i="3" s="1"/>
  <c r="D129" i="3"/>
  <c r="K129" i="3" s="1"/>
  <c r="D130" i="3"/>
  <c r="K130" i="3" s="1"/>
  <c r="D131" i="3"/>
  <c r="K131" i="3" s="1"/>
  <c r="D132" i="3"/>
  <c r="K132" i="3" s="1"/>
  <c r="D133" i="3"/>
  <c r="K133" i="3" s="1"/>
  <c r="D134" i="3"/>
  <c r="K134" i="3" s="1"/>
  <c r="D135" i="3"/>
  <c r="K135" i="3" s="1"/>
  <c r="D136" i="3"/>
  <c r="K136" i="3" s="1"/>
  <c r="D137" i="3"/>
  <c r="K137" i="3" s="1"/>
  <c r="D138" i="3"/>
  <c r="K138" i="3" s="1"/>
  <c r="D139" i="3"/>
  <c r="K139" i="3" s="1"/>
  <c r="D140" i="3"/>
  <c r="D141" i="3"/>
  <c r="D142" i="3"/>
  <c r="K142" i="3" s="1"/>
  <c r="D143" i="3"/>
  <c r="K143" i="3" s="1"/>
  <c r="D144" i="3"/>
  <c r="K144" i="3" s="1"/>
  <c r="D145" i="3"/>
  <c r="K145" i="3" s="1"/>
  <c r="D146" i="3"/>
  <c r="K146" i="3" s="1"/>
  <c r="D147" i="3"/>
  <c r="K147" i="3" s="1"/>
  <c r="D148" i="3"/>
  <c r="K148" i="3" s="1"/>
  <c r="D149" i="3"/>
  <c r="K149" i="3" s="1"/>
  <c r="D150" i="3"/>
  <c r="K150" i="3" s="1"/>
  <c r="D151" i="3"/>
  <c r="K151" i="3" s="1"/>
  <c r="D152" i="3"/>
  <c r="D153" i="3"/>
  <c r="K153" i="3" s="1"/>
  <c r="D154" i="3"/>
  <c r="K154" i="3" s="1"/>
  <c r="D155" i="3"/>
  <c r="K155" i="3" s="1"/>
  <c r="D156" i="3"/>
  <c r="K156" i="3" s="1"/>
  <c r="D157" i="3"/>
  <c r="K157" i="3" s="1"/>
  <c r="D158" i="3"/>
  <c r="K158" i="3" s="1"/>
  <c r="D159" i="3"/>
  <c r="K159" i="3" s="1"/>
  <c r="D160" i="3"/>
  <c r="K160" i="3" s="1"/>
  <c r="D161" i="3"/>
  <c r="K161" i="3" s="1"/>
  <c r="D162" i="3"/>
  <c r="K162" i="3" s="1"/>
  <c r="D163" i="3"/>
  <c r="K163" i="3" s="1"/>
  <c r="D164" i="3"/>
  <c r="K164" i="3" s="1"/>
  <c r="D165" i="3"/>
  <c r="K165" i="3" s="1"/>
  <c r="D166" i="3"/>
  <c r="K166" i="3" s="1"/>
  <c r="D167" i="3"/>
  <c r="K167" i="3" s="1"/>
  <c r="D168" i="3"/>
  <c r="K168" i="3" s="1"/>
  <c r="D169" i="3"/>
  <c r="K169" i="3" s="1"/>
  <c r="D170" i="3"/>
  <c r="K170" i="3" s="1"/>
  <c r="D171" i="3"/>
  <c r="K171" i="3" s="1"/>
  <c r="D172" i="3"/>
  <c r="D173" i="3"/>
  <c r="D174" i="3"/>
  <c r="K174" i="3" s="1"/>
  <c r="D175" i="3"/>
  <c r="K175" i="3" s="1"/>
  <c r="D176" i="3"/>
  <c r="K176" i="3" s="1"/>
  <c r="D177" i="3"/>
  <c r="K177" i="3" s="1"/>
  <c r="D178" i="3"/>
  <c r="K178" i="3" s="1"/>
  <c r="D179" i="3"/>
  <c r="K179" i="3" s="1"/>
  <c r="D180" i="3"/>
  <c r="K180" i="3" s="1"/>
  <c r="D181" i="3"/>
  <c r="K181" i="3" s="1"/>
  <c r="D182" i="3"/>
  <c r="K182" i="3" s="1"/>
  <c r="D183" i="3"/>
  <c r="K183" i="3" s="1"/>
  <c r="D184" i="3"/>
  <c r="D185" i="3"/>
  <c r="K185" i="3" s="1"/>
  <c r="D186" i="3"/>
  <c r="K186" i="3" s="1"/>
  <c r="D187" i="3"/>
  <c r="K187" i="3" s="1"/>
  <c r="D188" i="3"/>
  <c r="K188" i="3" s="1"/>
  <c r="D189" i="3"/>
  <c r="K189" i="3" s="1"/>
  <c r="D190" i="3"/>
  <c r="K190" i="3" s="1"/>
  <c r="D191" i="3"/>
  <c r="K191" i="3" s="1"/>
  <c r="D192" i="3"/>
  <c r="K192" i="3" s="1"/>
  <c r="D193" i="3"/>
  <c r="K193" i="3" s="1"/>
  <c r="D194" i="3"/>
  <c r="K194" i="3" s="1"/>
  <c r="D195" i="3"/>
  <c r="K195" i="3" s="1"/>
  <c r="D196" i="3"/>
  <c r="K196" i="3" s="1"/>
  <c r="D197" i="3"/>
  <c r="K197" i="3" s="1"/>
  <c r="D198" i="3"/>
  <c r="K198" i="3" s="1"/>
  <c r="D199" i="3"/>
  <c r="K199" i="3" s="1"/>
  <c r="D200" i="3"/>
  <c r="K200" i="3" s="1"/>
  <c r="D201" i="3"/>
  <c r="K201" i="3" s="1"/>
  <c r="D202" i="3"/>
  <c r="K202" i="3" s="1"/>
  <c r="D203" i="3"/>
  <c r="K203" i="3" s="1"/>
  <c r="D204" i="3"/>
  <c r="D205" i="3"/>
  <c r="D206" i="3"/>
  <c r="K206" i="3" s="1"/>
  <c r="D207" i="3"/>
  <c r="K207" i="3" s="1"/>
  <c r="D208" i="3"/>
  <c r="K208" i="3" s="1"/>
  <c r="D209" i="3"/>
  <c r="K209" i="3" s="1"/>
  <c r="D210" i="3"/>
  <c r="K210" i="3" s="1"/>
  <c r="D211" i="3"/>
  <c r="K211" i="3" s="1"/>
  <c r="D212" i="3"/>
  <c r="K212" i="3" s="1"/>
  <c r="D213" i="3"/>
  <c r="K213" i="3" s="1"/>
  <c r="D214" i="3"/>
  <c r="K214" i="3" s="1"/>
  <c r="D215" i="3"/>
  <c r="K215" i="3" s="1"/>
  <c r="D216" i="3"/>
  <c r="D217" i="3"/>
  <c r="K217" i="3" s="1"/>
  <c r="D218" i="3"/>
  <c r="K218" i="3" s="1"/>
  <c r="D219" i="3"/>
  <c r="K219" i="3" s="1"/>
  <c r="D220" i="3"/>
  <c r="K220" i="3" s="1"/>
  <c r="D221" i="3"/>
  <c r="K221" i="3" s="1"/>
  <c r="D222" i="3"/>
  <c r="K222" i="3" s="1"/>
  <c r="D223" i="3"/>
  <c r="K223" i="3" s="1"/>
  <c r="D224" i="3"/>
  <c r="K224" i="3" s="1"/>
  <c r="D225" i="3"/>
  <c r="K225" i="3" s="1"/>
  <c r="D226" i="3"/>
  <c r="K226" i="3" s="1"/>
  <c r="D227" i="3"/>
  <c r="K227" i="3" s="1"/>
  <c r="D228" i="3"/>
  <c r="K228" i="3" s="1"/>
  <c r="D229" i="3"/>
  <c r="K229" i="3" s="1"/>
  <c r="D230" i="3"/>
  <c r="K230" i="3" s="1"/>
  <c r="D231" i="3"/>
  <c r="K231" i="3" s="1"/>
  <c r="D232" i="3"/>
  <c r="K232" i="3" s="1"/>
  <c r="D233" i="3"/>
  <c r="K233" i="3" s="1"/>
  <c r="D234" i="3"/>
  <c r="K234" i="3" s="1"/>
  <c r="D235" i="3"/>
  <c r="K235" i="3" s="1"/>
  <c r="D236" i="3"/>
  <c r="D237" i="3"/>
  <c r="D238" i="3"/>
  <c r="K238" i="3" s="1"/>
  <c r="D239" i="3"/>
  <c r="K239" i="3" s="1"/>
  <c r="D240" i="3"/>
  <c r="K240" i="3" s="1"/>
  <c r="D241" i="3"/>
  <c r="K241" i="3" s="1"/>
  <c r="D242" i="3"/>
  <c r="K242" i="3" s="1"/>
  <c r="D243" i="3"/>
  <c r="K243" i="3" s="1"/>
  <c r="D244" i="3"/>
  <c r="K244" i="3" s="1"/>
  <c r="D245" i="3"/>
  <c r="K245" i="3" s="1"/>
  <c r="D246" i="3"/>
  <c r="K246" i="3" s="1"/>
  <c r="D247" i="3"/>
  <c r="K247" i="3" s="1"/>
  <c r="D248" i="3"/>
  <c r="D249" i="3"/>
  <c r="K249" i="3" s="1"/>
  <c r="D250" i="3"/>
  <c r="K250" i="3" s="1"/>
  <c r="D251" i="3"/>
  <c r="K251" i="3" s="1"/>
  <c r="D252" i="3"/>
  <c r="K252" i="3" s="1"/>
  <c r="D253" i="3"/>
  <c r="K253" i="3" s="1"/>
  <c r="D254" i="3"/>
  <c r="K254" i="3" s="1"/>
  <c r="D255" i="3"/>
  <c r="K255" i="3" s="1"/>
  <c r="D256" i="3"/>
  <c r="K256" i="3" s="1"/>
  <c r="D257" i="3"/>
  <c r="K257" i="3" s="1"/>
  <c r="D258" i="3"/>
  <c r="K258" i="3" s="1"/>
  <c r="D259" i="3"/>
  <c r="K259" i="3" s="1"/>
  <c r="D260" i="3"/>
  <c r="K260" i="3" s="1"/>
  <c r="D261" i="3"/>
  <c r="K261" i="3" s="1"/>
  <c r="D262" i="3"/>
  <c r="K262" i="3" s="1"/>
  <c r="D263" i="3"/>
  <c r="K263" i="3" s="1"/>
  <c r="D264" i="3"/>
  <c r="K264" i="3" s="1"/>
  <c r="D265" i="3"/>
  <c r="K265" i="3" s="1"/>
  <c r="D266" i="3"/>
  <c r="K266" i="3" s="1"/>
  <c r="D267" i="3"/>
  <c r="K267" i="3" s="1"/>
  <c r="D268" i="3"/>
  <c r="D269" i="3"/>
  <c r="D270" i="3"/>
  <c r="K270" i="3" s="1"/>
  <c r="D271" i="3"/>
  <c r="K271" i="3" s="1"/>
  <c r="D272" i="3"/>
  <c r="K272" i="3" s="1"/>
  <c r="D273" i="3"/>
  <c r="K273" i="3" s="1"/>
  <c r="D274" i="3"/>
  <c r="K274" i="3" s="1"/>
  <c r="D275" i="3"/>
  <c r="K275" i="3" s="1"/>
  <c r="D276" i="3"/>
  <c r="K276" i="3" s="1"/>
  <c r="D277" i="3"/>
  <c r="K277" i="3" s="1"/>
  <c r="D278" i="3"/>
  <c r="K278" i="3" s="1"/>
  <c r="D279" i="3"/>
  <c r="K279" i="3" s="1"/>
  <c r="D280" i="3"/>
  <c r="D281" i="3"/>
  <c r="K281" i="3" s="1"/>
  <c r="D282" i="3"/>
  <c r="K282" i="3" s="1"/>
  <c r="D283" i="3"/>
  <c r="K283" i="3" s="1"/>
  <c r="D284" i="3"/>
  <c r="K284" i="3" s="1"/>
  <c r="D285" i="3"/>
  <c r="K285" i="3" s="1"/>
  <c r="D286" i="3"/>
  <c r="K286" i="3" s="1"/>
  <c r="D287" i="3"/>
  <c r="K287" i="3" s="1"/>
  <c r="D288" i="3"/>
  <c r="K288" i="3" s="1"/>
  <c r="D289" i="3"/>
  <c r="K289" i="3" s="1"/>
  <c r="D290" i="3"/>
  <c r="K290" i="3" s="1"/>
  <c r="D291" i="3"/>
  <c r="K291" i="3" s="1"/>
  <c r="D292" i="3"/>
  <c r="K292" i="3" s="1"/>
  <c r="D293" i="3"/>
  <c r="K293" i="3" s="1"/>
  <c r="D294" i="3"/>
  <c r="K294" i="3" s="1"/>
  <c r="D295" i="3"/>
  <c r="K295" i="3" s="1"/>
  <c r="D296" i="3"/>
  <c r="K296" i="3" s="1"/>
  <c r="D297" i="3"/>
  <c r="K297" i="3" s="1"/>
  <c r="D298" i="3"/>
  <c r="K298" i="3" s="1"/>
  <c r="D299" i="3"/>
  <c r="K299" i="3" s="1"/>
  <c r="D300" i="3"/>
  <c r="D301" i="3"/>
  <c r="D302" i="3"/>
  <c r="K302" i="3" s="1"/>
  <c r="D303" i="3"/>
  <c r="K303" i="3" s="1"/>
  <c r="D304" i="3"/>
  <c r="K304" i="3" s="1"/>
  <c r="D305" i="3"/>
  <c r="K305" i="3" s="1"/>
  <c r="D306" i="3"/>
  <c r="K306" i="3" s="1"/>
  <c r="D307" i="3"/>
  <c r="K307" i="3" s="1"/>
  <c r="D308" i="3"/>
  <c r="K308" i="3" s="1"/>
  <c r="D309" i="3"/>
  <c r="K309" i="3" s="1"/>
  <c r="D310" i="3"/>
  <c r="K310" i="3" s="1"/>
  <c r="D311" i="3"/>
  <c r="K311" i="3" s="1"/>
  <c r="D312" i="3"/>
  <c r="D313" i="3"/>
  <c r="K313" i="3" s="1"/>
  <c r="D314" i="3"/>
  <c r="K314" i="3" s="1"/>
  <c r="D315" i="3"/>
  <c r="K315" i="3" s="1"/>
  <c r="D316" i="3"/>
  <c r="K316" i="3" s="1"/>
  <c r="D317" i="3"/>
  <c r="K317" i="3" s="1"/>
  <c r="D318" i="3"/>
  <c r="K318" i="3" s="1"/>
  <c r="D319" i="3"/>
  <c r="K319" i="3" s="1"/>
  <c r="D320" i="3"/>
  <c r="K320" i="3" s="1"/>
  <c r="D321" i="3"/>
  <c r="K321" i="3" s="1"/>
  <c r="D322" i="3"/>
  <c r="K322" i="3" s="1"/>
  <c r="D323" i="3"/>
  <c r="K323" i="3" s="1"/>
  <c r="D324" i="3"/>
  <c r="K324" i="3" s="1"/>
  <c r="D325" i="3"/>
  <c r="K325" i="3" s="1"/>
  <c r="D326" i="3"/>
  <c r="K326" i="3" s="1"/>
  <c r="D327" i="3"/>
  <c r="K327" i="3" s="1"/>
  <c r="D328" i="3"/>
  <c r="K328" i="3" s="1"/>
  <c r="D329" i="3"/>
  <c r="K329" i="3" s="1"/>
  <c r="D330" i="3"/>
  <c r="K330" i="3" s="1"/>
  <c r="D331" i="3"/>
  <c r="K331" i="3" s="1"/>
  <c r="D332" i="3"/>
  <c r="D333" i="3"/>
  <c r="D334" i="3"/>
  <c r="K334" i="3" s="1"/>
  <c r="D335" i="3"/>
  <c r="K335" i="3" s="1"/>
  <c r="D336" i="3"/>
  <c r="K336" i="3" s="1"/>
  <c r="D337" i="3"/>
  <c r="K337" i="3" s="1"/>
  <c r="D338" i="3"/>
  <c r="K338" i="3" s="1"/>
  <c r="D339" i="3"/>
  <c r="K339" i="3" s="1"/>
  <c r="D340" i="3"/>
  <c r="K340" i="3" s="1"/>
  <c r="D341" i="3"/>
  <c r="K341" i="3" s="1"/>
  <c r="D342" i="3"/>
  <c r="K342" i="3" s="1"/>
  <c r="D343" i="3"/>
  <c r="D344" i="3"/>
  <c r="K344" i="3" s="1"/>
  <c r="D345" i="3"/>
  <c r="K345" i="3" s="1"/>
  <c r="D346" i="3"/>
  <c r="K346" i="3" s="1"/>
  <c r="D347" i="3"/>
  <c r="K347" i="3" s="1"/>
  <c r="D348" i="3"/>
  <c r="K348" i="3" s="1"/>
  <c r="D349" i="3"/>
  <c r="K349" i="3" s="1"/>
  <c r="D350" i="3"/>
  <c r="K350" i="3" s="1"/>
  <c r="D351" i="3"/>
  <c r="D352" i="3"/>
  <c r="K352" i="3" s="1"/>
  <c r="D353" i="3"/>
  <c r="K353" i="3" s="1"/>
  <c r="D354" i="3"/>
  <c r="K354" i="3" s="1"/>
  <c r="D355" i="3"/>
  <c r="K355" i="3" s="1"/>
  <c r="D356" i="3"/>
  <c r="K356" i="3" s="1"/>
  <c r="D357" i="3"/>
  <c r="K357" i="3" s="1"/>
  <c r="D358" i="3"/>
  <c r="K358" i="3" s="1"/>
  <c r="D359" i="3"/>
  <c r="D360" i="3"/>
  <c r="K360" i="3" s="1"/>
  <c r="D361" i="3"/>
  <c r="K361" i="3" s="1"/>
  <c r="D362" i="3"/>
  <c r="K362" i="3" s="1"/>
  <c r="D363" i="3"/>
  <c r="K363" i="3" s="1"/>
  <c r="D364" i="3"/>
  <c r="K364" i="3" s="1"/>
  <c r="D365" i="3"/>
  <c r="K365" i="3" s="1"/>
  <c r="D366" i="3"/>
  <c r="K366" i="3" s="1"/>
  <c r="D367" i="3"/>
  <c r="D368" i="3"/>
  <c r="K368" i="3" s="1"/>
  <c r="D369" i="3"/>
  <c r="K369" i="3" s="1"/>
  <c r="D370" i="3"/>
  <c r="K370" i="3" s="1"/>
  <c r="D371" i="3"/>
  <c r="K371" i="3" s="1"/>
  <c r="D372" i="3"/>
  <c r="K372" i="3" s="1"/>
  <c r="D373" i="3"/>
  <c r="K373" i="3" s="1"/>
  <c r="D374" i="3"/>
  <c r="K374" i="3" s="1"/>
  <c r="D375" i="3"/>
  <c r="D376" i="3"/>
  <c r="K376" i="3" s="1"/>
  <c r="D377" i="3"/>
  <c r="K377" i="3" s="1"/>
  <c r="D378" i="3"/>
  <c r="K378" i="3" s="1"/>
  <c r="D379" i="3"/>
  <c r="K379" i="3" s="1"/>
  <c r="D380" i="3"/>
  <c r="K380" i="3" s="1"/>
  <c r="D381" i="3"/>
  <c r="K381" i="3" s="1"/>
  <c r="D382" i="3"/>
  <c r="K382" i="3" s="1"/>
  <c r="D383" i="3"/>
  <c r="D384" i="3"/>
  <c r="K384" i="3" s="1"/>
  <c r="D385" i="3"/>
  <c r="K385" i="3" s="1"/>
  <c r="D386" i="3"/>
  <c r="K386" i="3" s="1"/>
  <c r="D387" i="3"/>
  <c r="K387" i="3" s="1"/>
  <c r="D388" i="3"/>
  <c r="K388" i="3" s="1"/>
  <c r="D389" i="3"/>
  <c r="K389" i="3" s="1"/>
  <c r="D390" i="3"/>
  <c r="K390" i="3" s="1"/>
  <c r="D391" i="3"/>
  <c r="D392" i="3"/>
  <c r="K392" i="3" s="1"/>
  <c r="D393" i="3"/>
  <c r="K393" i="3" s="1"/>
  <c r="D394" i="3"/>
  <c r="K394" i="3" s="1"/>
  <c r="D395" i="3"/>
  <c r="K395" i="3" s="1"/>
  <c r="D396" i="3"/>
  <c r="K396" i="3" s="1"/>
  <c r="D397" i="3"/>
  <c r="K397" i="3" s="1"/>
  <c r="D398" i="3"/>
  <c r="K398" i="3" s="1"/>
  <c r="D399" i="3"/>
  <c r="D400" i="3"/>
  <c r="K400" i="3" s="1"/>
  <c r="D401" i="3"/>
  <c r="K401" i="3" s="1"/>
  <c r="D402" i="3"/>
  <c r="K402" i="3" s="1"/>
  <c r="D403" i="3"/>
  <c r="K403" i="3" s="1"/>
  <c r="D404" i="3"/>
  <c r="K404" i="3" s="1"/>
  <c r="D405" i="3"/>
  <c r="K405" i="3" s="1"/>
  <c r="D406" i="3"/>
  <c r="K406" i="3" s="1"/>
  <c r="D407" i="3"/>
  <c r="D408" i="3"/>
  <c r="K408" i="3" s="1"/>
  <c r="D409" i="3"/>
  <c r="K409" i="3" s="1"/>
  <c r="D410" i="3"/>
  <c r="K410" i="3" s="1"/>
  <c r="D411" i="3"/>
  <c r="K411" i="3" s="1"/>
  <c r="D412" i="3"/>
  <c r="K412" i="3" s="1"/>
  <c r="D413" i="3"/>
  <c r="K413" i="3" s="1"/>
  <c r="D414" i="3"/>
  <c r="K414" i="3" s="1"/>
  <c r="D415" i="3"/>
  <c r="D416" i="3"/>
  <c r="K416" i="3" s="1"/>
  <c r="D417" i="3"/>
  <c r="K417" i="3" s="1"/>
  <c r="D418" i="3"/>
  <c r="K418" i="3" s="1"/>
  <c r="D419" i="3"/>
  <c r="K419" i="3" s="1"/>
  <c r="D420" i="3"/>
  <c r="K420" i="3" s="1"/>
  <c r="D421" i="3"/>
  <c r="K421" i="3" s="1"/>
  <c r="D422" i="3"/>
  <c r="K422" i="3" s="1"/>
  <c r="D423" i="3"/>
  <c r="D424" i="3"/>
  <c r="K424" i="3" s="1"/>
  <c r="D425" i="3"/>
  <c r="K425" i="3" s="1"/>
  <c r="D426" i="3"/>
  <c r="K426" i="3" s="1"/>
  <c r="D427" i="3"/>
  <c r="K427" i="3" s="1"/>
  <c r="D428" i="3"/>
  <c r="K428" i="3" s="1"/>
  <c r="D429" i="3"/>
  <c r="K429" i="3" s="1"/>
  <c r="D430" i="3"/>
  <c r="K430" i="3" s="1"/>
  <c r="D431" i="3"/>
  <c r="K431" i="3" s="1"/>
  <c r="D432" i="3"/>
  <c r="K432" i="3" s="1"/>
  <c r="D433" i="3"/>
  <c r="K433" i="3" s="1"/>
  <c r="D434" i="3"/>
  <c r="K434" i="3" s="1"/>
  <c r="D435" i="3"/>
  <c r="D436" i="3"/>
  <c r="K436" i="3" s="1"/>
  <c r="D437" i="3"/>
  <c r="K437" i="3" s="1"/>
  <c r="D438" i="3"/>
  <c r="K438" i="3" s="1"/>
  <c r="D439" i="3"/>
  <c r="D440" i="3"/>
  <c r="K440" i="3" s="1"/>
  <c r="D441" i="3"/>
  <c r="K441" i="3" s="1"/>
  <c r="D442" i="3"/>
  <c r="K442" i="3" s="1"/>
  <c r="D443" i="3"/>
  <c r="D444" i="3"/>
  <c r="K444" i="3" s="1"/>
  <c r="D445" i="3"/>
  <c r="K445" i="3" s="1"/>
  <c r="D446" i="3"/>
  <c r="K446" i="3" s="1"/>
  <c r="D447" i="3"/>
  <c r="D448" i="3"/>
  <c r="K448" i="3" s="1"/>
  <c r="D449" i="3"/>
  <c r="K449" i="3" s="1"/>
  <c r="D450" i="3"/>
  <c r="K450" i="3" s="1"/>
  <c r="D451" i="3"/>
  <c r="D452" i="3"/>
  <c r="K452" i="3" s="1"/>
  <c r="D453" i="3"/>
  <c r="K453" i="3" s="1"/>
  <c r="D454" i="3"/>
  <c r="K454" i="3" s="1"/>
  <c r="D455" i="3"/>
  <c r="D456" i="3"/>
  <c r="K456" i="3" s="1"/>
  <c r="D457" i="3"/>
  <c r="K457" i="3" s="1"/>
  <c r="D458" i="3"/>
  <c r="K458" i="3" s="1"/>
  <c r="D459" i="3"/>
  <c r="D460" i="3"/>
  <c r="K460" i="3" s="1"/>
  <c r="D461" i="3"/>
  <c r="K461" i="3" s="1"/>
  <c r="D462" i="3"/>
  <c r="K462" i="3" s="1"/>
  <c r="D463" i="3"/>
  <c r="D464" i="3"/>
  <c r="K464" i="3" s="1"/>
  <c r="D465" i="3"/>
  <c r="K465" i="3" s="1"/>
  <c r="D466" i="3"/>
  <c r="K466" i="3" s="1"/>
  <c r="D467" i="3"/>
  <c r="D468" i="3"/>
  <c r="K468" i="3" s="1"/>
  <c r="D469" i="3"/>
  <c r="K469" i="3" s="1"/>
  <c r="D470" i="3"/>
  <c r="K470" i="3" s="1"/>
  <c r="D471" i="3"/>
  <c r="D472" i="3"/>
  <c r="K472" i="3" s="1"/>
  <c r="D473" i="3"/>
  <c r="K473" i="3" s="1"/>
  <c r="D474" i="3"/>
  <c r="K474" i="3" s="1"/>
  <c r="D475" i="3"/>
  <c r="D476" i="3"/>
  <c r="K476" i="3" s="1"/>
  <c r="D477" i="3"/>
  <c r="K477" i="3" s="1"/>
  <c r="D478" i="3"/>
  <c r="K478" i="3" s="1"/>
  <c r="D479" i="3"/>
  <c r="D480" i="3"/>
  <c r="K480" i="3" s="1"/>
  <c r="D481" i="3"/>
  <c r="K481" i="3" s="1"/>
  <c r="D482" i="3"/>
  <c r="K482" i="3" s="1"/>
  <c r="D483" i="3"/>
  <c r="D484" i="3"/>
  <c r="K484" i="3" s="1"/>
  <c r="D485" i="3"/>
  <c r="K485" i="3" s="1"/>
  <c r="D486" i="3"/>
  <c r="K486" i="3" s="1"/>
  <c r="D487" i="3"/>
  <c r="D488" i="3"/>
  <c r="K488" i="3" s="1"/>
  <c r="D489" i="3"/>
  <c r="K489" i="3" s="1"/>
  <c r="D490" i="3"/>
  <c r="K490" i="3" s="1"/>
  <c r="D491" i="3"/>
  <c r="D492" i="3"/>
  <c r="K492" i="3" s="1"/>
  <c r="D493" i="3"/>
  <c r="K493" i="3" s="1"/>
  <c r="D494" i="3"/>
  <c r="K494" i="3" s="1"/>
  <c r="D495" i="3"/>
  <c r="D496" i="3"/>
  <c r="K496" i="3" s="1"/>
  <c r="D497" i="3"/>
  <c r="K497" i="3" s="1"/>
  <c r="D498" i="3"/>
  <c r="K498" i="3" s="1"/>
  <c r="D499" i="3"/>
  <c r="D500" i="3"/>
  <c r="K500" i="3" s="1"/>
  <c r="D501" i="3"/>
  <c r="K501" i="3" s="1"/>
  <c r="D502" i="3"/>
  <c r="K502" i="3" s="1"/>
  <c r="D503" i="3"/>
  <c r="D504" i="3"/>
  <c r="K504" i="3" s="1"/>
  <c r="D505" i="3"/>
  <c r="K505" i="3" s="1"/>
  <c r="D506" i="3"/>
  <c r="K506" i="3" s="1"/>
  <c r="D507" i="3"/>
  <c r="D508" i="3"/>
  <c r="K508" i="3" s="1"/>
  <c r="D509" i="3"/>
  <c r="K509" i="3" s="1"/>
  <c r="D510" i="3"/>
  <c r="K510" i="3" s="1"/>
  <c r="D511" i="3"/>
  <c r="D512" i="3"/>
  <c r="K512" i="3" s="1"/>
  <c r="D513" i="3"/>
  <c r="K513" i="3" s="1"/>
  <c r="D514" i="3"/>
  <c r="K514" i="3" s="1"/>
  <c r="D515" i="3"/>
  <c r="D516" i="3"/>
  <c r="K516" i="3" s="1"/>
  <c r="D517" i="3"/>
  <c r="K517" i="3" s="1"/>
  <c r="D518" i="3"/>
  <c r="K518" i="3" s="1"/>
  <c r="D519" i="3"/>
  <c r="D520" i="3"/>
  <c r="K520" i="3" s="1"/>
  <c r="D521" i="3"/>
  <c r="K521" i="3" s="1"/>
  <c r="D522" i="3"/>
  <c r="K522" i="3" s="1"/>
  <c r="D523" i="3"/>
  <c r="D524" i="3"/>
  <c r="K524" i="3" s="1"/>
  <c r="D525" i="3"/>
  <c r="K525" i="3" s="1"/>
  <c r="D526" i="3"/>
  <c r="K526" i="3" s="1"/>
  <c r="D527" i="3"/>
  <c r="D528" i="3"/>
  <c r="K528" i="3" s="1"/>
  <c r="D529" i="3"/>
  <c r="K529" i="3" s="1"/>
  <c r="D530" i="3"/>
  <c r="K530" i="3" s="1"/>
  <c r="D531" i="3"/>
  <c r="D532" i="3"/>
  <c r="K532" i="3" s="1"/>
  <c r="D533" i="3"/>
  <c r="K533" i="3" s="1"/>
  <c r="D534" i="3"/>
  <c r="K534" i="3" s="1"/>
  <c r="D535" i="3"/>
  <c r="D536" i="3"/>
  <c r="K536" i="3" s="1"/>
  <c r="D537" i="3"/>
  <c r="K537" i="3" s="1"/>
  <c r="D538" i="3"/>
  <c r="K538" i="3" s="1"/>
  <c r="D539" i="3"/>
  <c r="D540" i="3"/>
  <c r="K540" i="3" s="1"/>
  <c r="D541" i="3"/>
  <c r="K541" i="3" s="1"/>
  <c r="D542" i="3"/>
  <c r="K542" i="3" s="1"/>
  <c r="D543" i="3"/>
  <c r="D544" i="3"/>
  <c r="K544" i="3" s="1"/>
  <c r="D545" i="3"/>
  <c r="K545" i="3" s="1"/>
  <c r="D546" i="3"/>
  <c r="K546" i="3" s="1"/>
  <c r="D547" i="3"/>
  <c r="D548" i="3"/>
  <c r="K548" i="3" s="1"/>
  <c r="D549" i="3"/>
  <c r="K549" i="3" s="1"/>
  <c r="D550" i="3"/>
  <c r="K550" i="3" s="1"/>
  <c r="D551" i="3"/>
  <c r="D552" i="3"/>
  <c r="K552" i="3" s="1"/>
  <c r="D553" i="3"/>
  <c r="K553" i="3" s="1"/>
  <c r="D554" i="3"/>
  <c r="K554" i="3" s="1"/>
  <c r="D555" i="3"/>
  <c r="D556" i="3"/>
  <c r="K556" i="3" s="1"/>
  <c r="D557" i="3"/>
  <c r="K557" i="3" s="1"/>
  <c r="D558" i="3"/>
  <c r="K558" i="3" s="1"/>
  <c r="D559" i="3"/>
  <c r="D560" i="3"/>
  <c r="K560" i="3" s="1"/>
  <c r="D561" i="3"/>
  <c r="K561" i="3" s="1"/>
  <c r="D562" i="3"/>
  <c r="K562" i="3" s="1"/>
  <c r="D563" i="3"/>
  <c r="D564" i="3"/>
  <c r="K564" i="3" s="1"/>
  <c r="D565" i="3"/>
  <c r="K565" i="3" s="1"/>
  <c r="D566" i="3"/>
  <c r="K566" i="3" s="1"/>
  <c r="D567" i="3"/>
  <c r="D568" i="3"/>
  <c r="K568" i="3" s="1"/>
  <c r="D569" i="3"/>
  <c r="K569" i="3" s="1"/>
  <c r="D570" i="3"/>
  <c r="K570" i="3" s="1"/>
  <c r="D571" i="3"/>
  <c r="D572" i="3"/>
  <c r="K572" i="3" s="1"/>
  <c r="D573" i="3"/>
  <c r="K573" i="3" s="1"/>
  <c r="D574" i="3"/>
  <c r="K574" i="3" s="1"/>
  <c r="D575" i="3"/>
  <c r="D576" i="3"/>
  <c r="K576" i="3" s="1"/>
  <c r="D577" i="3"/>
  <c r="K577" i="3" s="1"/>
  <c r="D578" i="3"/>
  <c r="K578" i="3" s="1"/>
  <c r="D579" i="3"/>
  <c r="D580" i="3"/>
  <c r="K580" i="3" s="1"/>
  <c r="D581" i="3"/>
  <c r="K581" i="3" s="1"/>
  <c r="D582" i="3"/>
  <c r="K582" i="3" s="1"/>
  <c r="D583" i="3"/>
  <c r="D584" i="3"/>
  <c r="K584" i="3" s="1"/>
  <c r="D585" i="3"/>
  <c r="K585" i="3" s="1"/>
  <c r="D586" i="3"/>
  <c r="K586" i="3" s="1"/>
  <c r="D587" i="3"/>
  <c r="D588" i="3"/>
  <c r="K588" i="3" s="1"/>
  <c r="D589" i="3"/>
  <c r="K589" i="3" s="1"/>
  <c r="D590" i="3"/>
  <c r="K590" i="3" s="1"/>
  <c r="D591" i="3"/>
  <c r="D592" i="3"/>
  <c r="K592" i="3" s="1"/>
  <c r="D593" i="3"/>
  <c r="K593" i="3" s="1"/>
  <c r="D594" i="3"/>
  <c r="K594" i="3" s="1"/>
  <c r="D595" i="3"/>
  <c r="D596" i="3"/>
  <c r="K596" i="3" s="1"/>
  <c r="D597" i="3"/>
  <c r="K597" i="3" s="1"/>
  <c r="D598" i="3"/>
  <c r="K598" i="3" s="1"/>
  <c r="D599" i="3"/>
  <c r="D600" i="3"/>
  <c r="K600" i="3" s="1"/>
  <c r="D601" i="3"/>
  <c r="K601" i="3" s="1"/>
  <c r="D602" i="3"/>
  <c r="K602" i="3" s="1"/>
  <c r="D603" i="3"/>
  <c r="D604" i="3"/>
  <c r="K604" i="3" s="1"/>
  <c r="D605" i="3"/>
  <c r="K605" i="3" s="1"/>
  <c r="D606" i="3"/>
  <c r="K606" i="3" s="1"/>
  <c r="D607" i="3"/>
  <c r="D608" i="3"/>
  <c r="K608" i="3" s="1"/>
  <c r="D609" i="3"/>
  <c r="K609" i="3" s="1"/>
  <c r="D610" i="3"/>
  <c r="K610" i="3" s="1"/>
  <c r="D611" i="3"/>
  <c r="D612" i="3"/>
  <c r="K612" i="3" s="1"/>
  <c r="D613" i="3"/>
  <c r="K613" i="3" s="1"/>
  <c r="D614" i="3"/>
  <c r="K614" i="3" s="1"/>
  <c r="D615" i="3"/>
  <c r="D616" i="3"/>
  <c r="K616" i="3" s="1"/>
  <c r="D617" i="3"/>
  <c r="K617" i="3" s="1"/>
  <c r="D618" i="3"/>
  <c r="K618" i="3" s="1"/>
  <c r="D619" i="3"/>
  <c r="D620" i="3"/>
  <c r="K620" i="3" s="1"/>
  <c r="D621" i="3"/>
  <c r="K621" i="3" s="1"/>
  <c r="D622" i="3"/>
  <c r="K622" i="3" s="1"/>
  <c r="D623" i="3"/>
  <c r="D624" i="3"/>
  <c r="K624" i="3" s="1"/>
  <c r="D625" i="3"/>
  <c r="K625" i="3" s="1"/>
  <c r="D626" i="3"/>
  <c r="K626" i="3" s="1"/>
  <c r="D627" i="3"/>
  <c r="D628" i="3"/>
  <c r="K628" i="3" s="1"/>
  <c r="D629" i="3"/>
  <c r="K629" i="3" s="1"/>
  <c r="D630" i="3"/>
  <c r="K630" i="3" s="1"/>
  <c r="D631" i="3"/>
  <c r="D632" i="3"/>
  <c r="K632" i="3" s="1"/>
  <c r="D633" i="3"/>
  <c r="K633" i="3" s="1"/>
  <c r="D634" i="3"/>
  <c r="K634" i="3" s="1"/>
  <c r="D635" i="3"/>
  <c r="D636" i="3"/>
  <c r="K636" i="3" s="1"/>
  <c r="D637" i="3"/>
  <c r="K637" i="3" s="1"/>
  <c r="D638" i="3"/>
  <c r="K638" i="3" s="1"/>
  <c r="D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2" i="3"/>
</calcChain>
</file>

<file path=xl/sharedStrings.xml><?xml version="1.0" encoding="utf-8"?>
<sst xmlns="http://schemas.openxmlformats.org/spreadsheetml/2006/main" count="4956" uniqueCount="1933">
  <si>
    <t>Movie Title</t>
  </si>
  <si>
    <t>Movie Year</t>
  </si>
  <si>
    <t>Runtime</t>
  </si>
  <si>
    <t>Genre</t>
  </si>
  <si>
    <t>Rating</t>
  </si>
  <si>
    <t>Director</t>
  </si>
  <si>
    <t>Votes</t>
  </si>
  <si>
    <t>Gross</t>
  </si>
  <si>
    <t>Alien</t>
  </si>
  <si>
    <t>Horror, Sci-Fi</t>
  </si>
  <si>
    <t>Ridley Scott</t>
  </si>
  <si>
    <t>9,05,275</t>
  </si>
  <si>
    <t>$78.90M</t>
  </si>
  <si>
    <t>Psycho</t>
  </si>
  <si>
    <t>Horror, Mystery, Thriller</t>
  </si>
  <si>
    <t>Alfred Hitchcock</t>
  </si>
  <si>
    <t>6,89,068</t>
  </si>
  <si>
    <t>$32.00M</t>
  </si>
  <si>
    <t>The Shining</t>
  </si>
  <si>
    <t>Drama, Horror</t>
  </si>
  <si>
    <t>Stanley Kubrick</t>
  </si>
  <si>
    <t>10,51,582</t>
  </si>
  <si>
    <t>$44.02M</t>
  </si>
  <si>
    <t>The Thing</t>
  </si>
  <si>
    <t>Horror, Mystery, Sci-Fi</t>
  </si>
  <si>
    <t>John Carpenter</t>
  </si>
  <si>
    <t>4,39,793</t>
  </si>
  <si>
    <t>$13.78M</t>
  </si>
  <si>
    <t>Drama, Fantasy, Horror</t>
  </si>
  <si>
    <t>The Exorcist</t>
  </si>
  <si>
    <t>Horror</t>
  </si>
  <si>
    <t>William Friedkin</t>
  </si>
  <si>
    <t>4,22,330</t>
  </si>
  <si>
    <t>$232.91M</t>
  </si>
  <si>
    <t>Diabolique</t>
  </si>
  <si>
    <t>Crime, Drama, Horror</t>
  </si>
  <si>
    <t>Henri-Georges Clouzot</t>
  </si>
  <si>
    <t>$1.09M</t>
  </si>
  <si>
    <t>What Ever Happened to Baby Jane?</t>
  </si>
  <si>
    <t>Drama, Horror, Thriller</t>
  </si>
  <si>
    <t>Robert Aldrich</t>
  </si>
  <si>
    <t>$4.05M</t>
  </si>
  <si>
    <t>Drama, Horror, Mystery</t>
  </si>
  <si>
    <t>Shaun of the Dead</t>
  </si>
  <si>
    <t>Comedy, Horror</t>
  </si>
  <si>
    <t>Edgar Wright</t>
  </si>
  <si>
    <t>5,72,237</t>
  </si>
  <si>
    <t>$13.54M</t>
  </si>
  <si>
    <t>Fantasy, Horror</t>
  </si>
  <si>
    <t>Let the Right One In</t>
  </si>
  <si>
    <t>Tomas Alfredson</t>
  </si>
  <si>
    <t>2,21,604</t>
  </si>
  <si>
    <t>$2.12M</t>
  </si>
  <si>
    <t>King Kong</t>
  </si>
  <si>
    <t>Adventure, Horror, Sci-Fi</t>
  </si>
  <si>
    <t>Merian C. Cooper</t>
  </si>
  <si>
    <t>$10.00M</t>
  </si>
  <si>
    <t>Get Out I</t>
  </si>
  <si>
    <t>Jordan Peele</t>
  </si>
  <si>
    <t>6,42,604</t>
  </si>
  <si>
    <t>$176.04M</t>
  </si>
  <si>
    <t>Predator</t>
  </si>
  <si>
    <t>Action, Adventure, Horror</t>
  </si>
  <si>
    <t>John McTiernan</t>
  </si>
  <si>
    <t>4,35,400</t>
  </si>
  <si>
    <t>$59.74M</t>
  </si>
  <si>
    <t>I Saw the Devil</t>
  </si>
  <si>
    <t>Action, Crime, Horror</t>
  </si>
  <si>
    <t>Jee-woon Kim</t>
  </si>
  <si>
    <t>1,37,559</t>
  </si>
  <si>
    <t>$0.13M</t>
  </si>
  <si>
    <t>Dawn of the Dead</t>
  </si>
  <si>
    <t>Horror, Thriller</t>
  </si>
  <si>
    <t>George A. Romero</t>
  </si>
  <si>
    <t>1,24,374</t>
  </si>
  <si>
    <t>$5.10M</t>
  </si>
  <si>
    <t>Night of the Living Dead</t>
  </si>
  <si>
    <t>1,33,452</t>
  </si>
  <si>
    <t>$0.09M</t>
  </si>
  <si>
    <t>Freaks</t>
  </si>
  <si>
    <t>Tod Browning</t>
  </si>
  <si>
    <t>$0.63M</t>
  </si>
  <si>
    <t>Frankenstein</t>
  </si>
  <si>
    <t>Drama, Horror, Sci-Fi</t>
  </si>
  <si>
    <t>James Whale</t>
  </si>
  <si>
    <t>The Innocents</t>
  </si>
  <si>
    <t>Jack Clayton</t>
  </si>
  <si>
    <t>$2.62M</t>
  </si>
  <si>
    <t>The Bride of Frankenstein</t>
  </si>
  <si>
    <t>$4.36M</t>
  </si>
  <si>
    <t>Evil Dead II</t>
  </si>
  <si>
    <t>Sam Raimi</t>
  </si>
  <si>
    <t>1,73,914</t>
  </si>
  <si>
    <t>$5.92M</t>
  </si>
  <si>
    <t>Halloween</t>
  </si>
  <si>
    <t>2,89,224</t>
  </si>
  <si>
    <t>$47.00M</t>
  </si>
  <si>
    <t>Invasion of the Body Snatchers</t>
  </si>
  <si>
    <t>American Psycho</t>
  </si>
  <si>
    <t>Mary Harron</t>
  </si>
  <si>
    <t>6,58,696</t>
  </si>
  <si>
    <t>$15.07M</t>
  </si>
  <si>
    <t>Saw</t>
  </si>
  <si>
    <t>James Wan</t>
  </si>
  <si>
    <t>4,36,144</t>
  </si>
  <si>
    <t>$56.00M</t>
  </si>
  <si>
    <t>Train to Busan</t>
  </si>
  <si>
    <t>Action, Horror, Thriller</t>
  </si>
  <si>
    <t>Sang-ho Yeon</t>
  </si>
  <si>
    <t>2,35,577</t>
  </si>
  <si>
    <t>$2.13M</t>
  </si>
  <si>
    <t>The Fly</t>
  </si>
  <si>
    <t>David Cronenberg</t>
  </si>
  <si>
    <t>1,91,571</t>
  </si>
  <si>
    <t>$40.46M</t>
  </si>
  <si>
    <t>Zombieland</t>
  </si>
  <si>
    <t>Action, Comedy, Horror</t>
  </si>
  <si>
    <t>Ruben Fleischer</t>
  </si>
  <si>
    <t>5,96,433</t>
  </si>
  <si>
    <t>$75.59M</t>
  </si>
  <si>
    <t>The Birds</t>
  </si>
  <si>
    <t>1,96,469</t>
  </si>
  <si>
    <t>$11.40M</t>
  </si>
  <si>
    <t>The Skin I Live In</t>
  </si>
  <si>
    <t>Pedro AlmodÃ³var</t>
  </si>
  <si>
    <t>1,58,708</t>
  </si>
  <si>
    <t>$3.19M</t>
  </si>
  <si>
    <t>The Others</t>
  </si>
  <si>
    <t>Alejandro AmenÃ¡bar</t>
  </si>
  <si>
    <t>3,77,287</t>
  </si>
  <si>
    <t>$96.52M</t>
  </si>
  <si>
    <t>What We Do in the Shadows</t>
  </si>
  <si>
    <t>Jemaine Clement</t>
  </si>
  <si>
    <t>1,90,548</t>
  </si>
  <si>
    <t>$3.33M</t>
  </si>
  <si>
    <t>Eyes Without a Face</t>
  </si>
  <si>
    <t>Georges Franju</t>
  </si>
  <si>
    <t>$0.05M</t>
  </si>
  <si>
    <t>Vampire Hunter D: Bloodlust</t>
  </si>
  <si>
    <t>Animation, Action, Drama</t>
  </si>
  <si>
    <t>Jack Fletcher</t>
  </si>
  <si>
    <t>$0.15M</t>
  </si>
  <si>
    <t>Comedy, Drama, Horror</t>
  </si>
  <si>
    <t>Peeping Tom</t>
  </si>
  <si>
    <t>Michael Powell</t>
  </si>
  <si>
    <t>$0.08M</t>
  </si>
  <si>
    <t>The Conjuring</t>
  </si>
  <si>
    <t>5,26,164</t>
  </si>
  <si>
    <t>$137.40M</t>
  </si>
  <si>
    <t>A Quiet Place</t>
  </si>
  <si>
    <t>John Krasinski</t>
  </si>
  <si>
    <t>5,51,233</t>
  </si>
  <si>
    <t>$188.02M</t>
  </si>
  <si>
    <t>28 Days Later</t>
  </si>
  <si>
    <t>Danny Boyle</t>
  </si>
  <si>
    <t>4,25,705</t>
  </si>
  <si>
    <t>$45.06M</t>
  </si>
  <si>
    <t>Interview with the Vampire: The Vampire Chronicles</t>
  </si>
  <si>
    <t>Neil Jordan</t>
  </si>
  <si>
    <t>3,33,084</t>
  </si>
  <si>
    <t>$105.26M</t>
  </si>
  <si>
    <t>The Crow</t>
  </si>
  <si>
    <t>Action, Crime, Drama</t>
  </si>
  <si>
    <t>Alex Proyas</t>
  </si>
  <si>
    <t>1,90,666</t>
  </si>
  <si>
    <t>$50.69M</t>
  </si>
  <si>
    <t>An American Werewolf in London</t>
  </si>
  <si>
    <t>John Landis</t>
  </si>
  <si>
    <t>1,13,179</t>
  </si>
  <si>
    <t>$30.57M</t>
  </si>
  <si>
    <t>Tucker and Dale vs Evil</t>
  </si>
  <si>
    <t>Eli Craig</t>
  </si>
  <si>
    <t>1,86,643</t>
  </si>
  <si>
    <t>$0.22M</t>
  </si>
  <si>
    <t>The Wicker Man</t>
  </si>
  <si>
    <t>Robin Hardy</t>
  </si>
  <si>
    <t>$0.06M</t>
  </si>
  <si>
    <t>The Omen</t>
  </si>
  <si>
    <t>Horror, Mystery</t>
  </si>
  <si>
    <t>Richard Donner</t>
  </si>
  <si>
    <t>1,24,612</t>
  </si>
  <si>
    <t>$4.27M</t>
  </si>
  <si>
    <t>Grindhouse</t>
  </si>
  <si>
    <t>Robert Rodriguez</t>
  </si>
  <si>
    <t>1,87,623</t>
  </si>
  <si>
    <t>$25.04M</t>
  </si>
  <si>
    <t>Braindead</t>
  </si>
  <si>
    <t>Comedy, Fantasy, Horror</t>
  </si>
  <si>
    <t>Peter Jackson</t>
  </si>
  <si>
    <t>1,00,216</t>
  </si>
  <si>
    <t>$0.24M</t>
  </si>
  <si>
    <t>Godzilla</t>
  </si>
  <si>
    <t>IshirÃ´ Honda</t>
  </si>
  <si>
    <t>$2.42M</t>
  </si>
  <si>
    <t>The Evil Dead</t>
  </si>
  <si>
    <t>2,22,282</t>
  </si>
  <si>
    <t>$2.40M</t>
  </si>
  <si>
    <t>Scream</t>
  </si>
  <si>
    <t>Wes Craven</t>
  </si>
  <si>
    <t>3,65,136</t>
  </si>
  <si>
    <t>$103.05M</t>
  </si>
  <si>
    <t>Bram Stoker's Dracula</t>
  </si>
  <si>
    <t>Francis Ford Coppola</t>
  </si>
  <si>
    <t>2,26,027</t>
  </si>
  <si>
    <t>$82.52M</t>
  </si>
  <si>
    <t>Army of Darkness</t>
  </si>
  <si>
    <t>1,86,854</t>
  </si>
  <si>
    <t>$11.50M</t>
  </si>
  <si>
    <t>The Rocky Horror Picture Show</t>
  </si>
  <si>
    <t>Comedy, Horror, Musical</t>
  </si>
  <si>
    <t>Jim Sharman</t>
  </si>
  <si>
    <t>1,58,254</t>
  </si>
  <si>
    <t>$139.88M</t>
  </si>
  <si>
    <t>A Nightmare on Elm Street</t>
  </si>
  <si>
    <t>2,48,750</t>
  </si>
  <si>
    <t>$25.50M</t>
  </si>
  <si>
    <t>The Texas Chain Saw Massacre</t>
  </si>
  <si>
    <t>Tobe Hooper</t>
  </si>
  <si>
    <t>1,70,855</t>
  </si>
  <si>
    <t>$30.86M</t>
  </si>
  <si>
    <t>Carrie</t>
  </si>
  <si>
    <t>Brian De Palma</t>
  </si>
  <si>
    <t>1,95,170</t>
  </si>
  <si>
    <t>$33.80M</t>
  </si>
  <si>
    <t>Jacob's Ladder I</t>
  </si>
  <si>
    <t>Adrian Lyne</t>
  </si>
  <si>
    <t>1,13,045</t>
  </si>
  <si>
    <t>$26.12M</t>
  </si>
  <si>
    <t>Philip Kaufman</t>
  </si>
  <si>
    <t>$24.95M</t>
  </si>
  <si>
    <t>Jaume BalaguerÃ³</t>
  </si>
  <si>
    <t>The Orphanage</t>
  </si>
  <si>
    <t>J.A. Bayona</t>
  </si>
  <si>
    <t>1,59,601</t>
  </si>
  <si>
    <t>$7.16M</t>
  </si>
  <si>
    <t>The Devil's Backbone</t>
  </si>
  <si>
    <t>Guillermo del Toro</t>
  </si>
  <si>
    <t>$0.75M</t>
  </si>
  <si>
    <t>The Haunting</t>
  </si>
  <si>
    <t>Robert Wise</t>
  </si>
  <si>
    <t>Crime, Horror, Mystery</t>
  </si>
  <si>
    <t>Bhool Bhulaiyaa</t>
  </si>
  <si>
    <t>Comedy, Horror, Mystery</t>
  </si>
  <si>
    <t>Priyadarshan</t>
  </si>
  <si>
    <t>$1.07M</t>
  </si>
  <si>
    <t>Hereditary</t>
  </si>
  <si>
    <t>Ari Aster</t>
  </si>
  <si>
    <t>3,43,335</t>
  </si>
  <si>
    <t>$44.07M</t>
  </si>
  <si>
    <t>It I</t>
  </si>
  <si>
    <t>Andy Muschietti</t>
  </si>
  <si>
    <t>5,71,035</t>
  </si>
  <si>
    <t>$327.48M</t>
  </si>
  <si>
    <t>Split IX</t>
  </si>
  <si>
    <t>M. Night Shyamalan</t>
  </si>
  <si>
    <t>5,19,308</t>
  </si>
  <si>
    <t>$138.29M</t>
  </si>
  <si>
    <t>Doctor Sleep</t>
  </si>
  <si>
    <t>Mike Flanagan</t>
  </si>
  <si>
    <t>2,02,482</t>
  </si>
  <si>
    <t>$31.58M</t>
  </si>
  <si>
    <t>Action, Horror</t>
  </si>
  <si>
    <t>Zack Snyder</t>
  </si>
  <si>
    <t>2,63,099</t>
  </si>
  <si>
    <t>$59.02M</t>
  </si>
  <si>
    <t>Possession</t>
  </si>
  <si>
    <t>Andrzej Zulawski</t>
  </si>
  <si>
    <t>$1.11M</t>
  </si>
  <si>
    <t>Poltergeist</t>
  </si>
  <si>
    <t>1,70,924</t>
  </si>
  <si>
    <t>$76.61M</t>
  </si>
  <si>
    <t>Sweeney Todd: The Demon Barber of Fleet Street</t>
  </si>
  <si>
    <t>Drama, Horror, Musical</t>
  </si>
  <si>
    <t>Tim Burton</t>
  </si>
  <si>
    <t>3,76,557</t>
  </si>
  <si>
    <t>$52.90M</t>
  </si>
  <si>
    <t>Gremlins</t>
  </si>
  <si>
    <t>Joe Dante</t>
  </si>
  <si>
    <t>2,34,614</t>
  </si>
  <si>
    <t>$148.17M</t>
  </si>
  <si>
    <t>The Conjuring 2</t>
  </si>
  <si>
    <t>2,82,543</t>
  </si>
  <si>
    <t>$102.47M</t>
  </si>
  <si>
    <t>Sleepy Hollow</t>
  </si>
  <si>
    <t>Fantasy, Horror, Mystery</t>
  </si>
  <si>
    <t>3,70,303</t>
  </si>
  <si>
    <t>$101.07M</t>
  </si>
  <si>
    <t>Take Shelter</t>
  </si>
  <si>
    <t>Jeff Nichols</t>
  </si>
  <si>
    <t>1,03,846</t>
  </si>
  <si>
    <t>$1.73M</t>
  </si>
  <si>
    <t>Eraserhead</t>
  </si>
  <si>
    <t>David Lynch</t>
  </si>
  <si>
    <t>1,21,484</t>
  </si>
  <si>
    <t>$7.00M</t>
  </si>
  <si>
    <t>The Return of the Living Dead</t>
  </si>
  <si>
    <t>Comedy, Horror, Sci-Fi</t>
  </si>
  <si>
    <t>Dan O'Bannon</t>
  </si>
  <si>
    <t>$14.24M</t>
  </si>
  <si>
    <t>Twin Peaks: Fire Walk with Me</t>
  </si>
  <si>
    <t>1,00,656</t>
  </si>
  <si>
    <t>$4.16M</t>
  </si>
  <si>
    <t>House</t>
  </si>
  <si>
    <t>Pi</t>
  </si>
  <si>
    <t>Darren Aronofsky</t>
  </si>
  <si>
    <t>1,82,946</t>
  </si>
  <si>
    <t>$3.22M</t>
  </si>
  <si>
    <t>Action, Adventure, Drama</t>
  </si>
  <si>
    <t>Comedy, Horror, Thriller</t>
  </si>
  <si>
    <t>From Dusk Till Dawn</t>
  </si>
  <si>
    <t>3,26,069</t>
  </si>
  <si>
    <t>$25.75M</t>
  </si>
  <si>
    <t>The Lost Boys</t>
  </si>
  <si>
    <t>Joel Schumacher</t>
  </si>
  <si>
    <t>1,50,478</t>
  </si>
  <si>
    <t>$32.22M</t>
  </si>
  <si>
    <t>A Quiet Place Part II</t>
  </si>
  <si>
    <t>2,48,967</t>
  </si>
  <si>
    <t>$160.07M</t>
  </si>
  <si>
    <t>The Descent</t>
  </si>
  <si>
    <t>Adventure, Horror, Thriller</t>
  </si>
  <si>
    <t>Neil Marshall</t>
  </si>
  <si>
    <t>2,33,687</t>
  </si>
  <si>
    <t>$26.02M</t>
  </si>
  <si>
    <t>They Live</t>
  </si>
  <si>
    <t>Action, Horror, Sci-Fi</t>
  </si>
  <si>
    <t>1,36,510</t>
  </si>
  <si>
    <t>$13.01M</t>
  </si>
  <si>
    <t>I Am Legend</t>
  </si>
  <si>
    <t>Action, Drama, Horror</t>
  </si>
  <si>
    <t>Francis Lawrence</t>
  </si>
  <si>
    <t>7,81,259</t>
  </si>
  <si>
    <t>$256.39M</t>
  </si>
  <si>
    <t>10 Cloverfield Lane</t>
  </si>
  <si>
    <t>Dan Trachtenberg</t>
  </si>
  <si>
    <t>3,40,537</t>
  </si>
  <si>
    <t>$72.08M</t>
  </si>
  <si>
    <t>Dead Ringers</t>
  </si>
  <si>
    <t>$9.13M</t>
  </si>
  <si>
    <t>Angel Heart</t>
  </si>
  <si>
    <t>Alan Parker</t>
  </si>
  <si>
    <t>$17.19M</t>
  </si>
  <si>
    <t>Biography, Crime, Drama</t>
  </si>
  <si>
    <t>Videodrome</t>
  </si>
  <si>
    <t>Horror, Sci-Fi, Thriller</t>
  </si>
  <si>
    <t>Re-Animator</t>
  </si>
  <si>
    <t>Stuart Gordon</t>
  </si>
  <si>
    <t>$2.02M</t>
  </si>
  <si>
    <t>Only Lovers Left Alive</t>
  </si>
  <si>
    <t>Comedy, Drama, Fantasy</t>
  </si>
  <si>
    <t>Jim Jarmusch</t>
  </si>
  <si>
    <t>1,04,159</t>
  </si>
  <si>
    <t>$1.88M</t>
  </si>
  <si>
    <t>Peter Medak</t>
  </si>
  <si>
    <t>Hideo Nakata</t>
  </si>
  <si>
    <t>The Dead Zone</t>
  </si>
  <si>
    <t>$20.77M</t>
  </si>
  <si>
    <t>Midsommar</t>
  </si>
  <si>
    <t>3,54,167</t>
  </si>
  <si>
    <t>$27.33M</t>
  </si>
  <si>
    <t>The Ring</t>
  </si>
  <si>
    <t>Gore Verbinski</t>
  </si>
  <si>
    <t>3,60,824</t>
  </si>
  <si>
    <t>$129.13M</t>
  </si>
  <si>
    <t>The Mist</t>
  </si>
  <si>
    <t>Frank Darabont</t>
  </si>
  <si>
    <t>3,23,435</t>
  </si>
  <si>
    <t>$25.59M</t>
  </si>
  <si>
    <t>Don't Breathe</t>
  </si>
  <si>
    <t>Crime, Horror, Thriller</t>
  </si>
  <si>
    <t>Fede Alvarez</t>
  </si>
  <si>
    <t>2,86,498</t>
  </si>
  <si>
    <t>$89.22M</t>
  </si>
  <si>
    <t>Little Shop of Horrors</t>
  </si>
  <si>
    <t>Frank Oz</t>
  </si>
  <si>
    <t>$38.75M</t>
  </si>
  <si>
    <t>Blade</t>
  </si>
  <si>
    <t>Stephen Norrington</t>
  </si>
  <si>
    <t>2,85,069</t>
  </si>
  <si>
    <t>$70.09M</t>
  </si>
  <si>
    <t>The Invisible Man I</t>
  </si>
  <si>
    <t>Leigh Whannell</t>
  </si>
  <si>
    <t>2,38,588</t>
  </si>
  <si>
    <t>$70.41M</t>
  </si>
  <si>
    <t>Tremors</t>
  </si>
  <si>
    <t>Ron Underwood</t>
  </si>
  <si>
    <t>1,43,452</t>
  </si>
  <si>
    <t>$16.67M</t>
  </si>
  <si>
    <t>Don't Look Now</t>
  </si>
  <si>
    <t>Nicolas Roeg</t>
  </si>
  <si>
    <t>$0.98M</t>
  </si>
  <si>
    <t>Let Me In I</t>
  </si>
  <si>
    <t>Matt Reeves</t>
  </si>
  <si>
    <t>1,24,539</t>
  </si>
  <si>
    <t>$12.13M</t>
  </si>
  <si>
    <t>Cube</t>
  </si>
  <si>
    <t>Vincenzo Natali</t>
  </si>
  <si>
    <t>2,39,015</t>
  </si>
  <si>
    <t>$0.50M</t>
  </si>
  <si>
    <t>The Frighteners</t>
  </si>
  <si>
    <t>$16.76M</t>
  </si>
  <si>
    <t>In the Mouth of Madness</t>
  </si>
  <si>
    <t>$8.95M</t>
  </si>
  <si>
    <t>The Host</t>
  </si>
  <si>
    <t>Bong Joon Ho</t>
  </si>
  <si>
    <t>1,27,160</t>
  </si>
  <si>
    <t>$2.20M</t>
  </si>
  <si>
    <t>Day of the Dead</t>
  </si>
  <si>
    <t>$5.80M</t>
  </si>
  <si>
    <t>Timecrimes</t>
  </si>
  <si>
    <t>Nacho Vigalondo</t>
  </si>
  <si>
    <t>$0.04M</t>
  </si>
  <si>
    <t>Black Christmas</t>
  </si>
  <si>
    <t>Bob Clark</t>
  </si>
  <si>
    <t>Thirst</t>
  </si>
  <si>
    <t>Park Chan-wook</t>
  </si>
  <si>
    <t>$0.30M</t>
  </si>
  <si>
    <t>Ti West</t>
  </si>
  <si>
    <t>Orphan</t>
  </si>
  <si>
    <t>Jaume Collet-Serra</t>
  </si>
  <si>
    <t>2,40,096</t>
  </si>
  <si>
    <t>$41.60M</t>
  </si>
  <si>
    <t>Cloverfield</t>
  </si>
  <si>
    <t>4,09,328</t>
  </si>
  <si>
    <t>$80.05M</t>
  </si>
  <si>
    <t>The Cabin in the Woods</t>
  </si>
  <si>
    <t>Drew Goddard</t>
  </si>
  <si>
    <t>4,31,746</t>
  </si>
  <si>
    <t>$42.07M</t>
  </si>
  <si>
    <t>The Killing of a Sacred Deer</t>
  </si>
  <si>
    <t>Yorgos Lanthimos</t>
  </si>
  <si>
    <t>1,64,977</t>
  </si>
  <si>
    <t>$2.29M</t>
  </si>
  <si>
    <t>World War Z</t>
  </si>
  <si>
    <t>Marc Forster</t>
  </si>
  <si>
    <t>6,88,746</t>
  </si>
  <si>
    <t>$202.36M</t>
  </si>
  <si>
    <t>Constantine</t>
  </si>
  <si>
    <t>Action, Fantasy, Horror</t>
  </si>
  <si>
    <t>3,59,071</t>
  </si>
  <si>
    <t>$75.98M</t>
  </si>
  <si>
    <t>Pitch Black</t>
  </si>
  <si>
    <t>David Twohy</t>
  </si>
  <si>
    <t>2,47,313</t>
  </si>
  <si>
    <t>$39.24M</t>
  </si>
  <si>
    <t>Hotel Transylvania</t>
  </si>
  <si>
    <t>Animation, Adventure, Comedy</t>
  </si>
  <si>
    <t>Genndy Tartakovsky</t>
  </si>
  <si>
    <t>2,66,508</t>
  </si>
  <si>
    <t>$148.31M</t>
  </si>
  <si>
    <t>Hellboy II: The Golden Army</t>
  </si>
  <si>
    <t>Action, Adventure, Fantasy</t>
  </si>
  <si>
    <t>2,78,818</t>
  </si>
  <si>
    <t>$75.75M</t>
  </si>
  <si>
    <t>Green Room</t>
  </si>
  <si>
    <t>Jeremy Saulnier</t>
  </si>
  <si>
    <t>1,31,693</t>
  </si>
  <si>
    <t>Fright Night</t>
  </si>
  <si>
    <t>Tom Holland</t>
  </si>
  <si>
    <t>$24.92M</t>
  </si>
  <si>
    <t>Raw</t>
  </si>
  <si>
    <t>Julia Ducournau</t>
  </si>
  <si>
    <t>$0.51M</t>
  </si>
  <si>
    <t>Brotherhood of the Wolf</t>
  </si>
  <si>
    <t>Christophe Gans</t>
  </si>
  <si>
    <t>$11.26M</t>
  </si>
  <si>
    <t>Thelma</t>
  </si>
  <si>
    <t>Joachim Trier</t>
  </si>
  <si>
    <t>Henry: Portrait of a Serial Killer</t>
  </si>
  <si>
    <t>John McNaughton</t>
  </si>
  <si>
    <t>$0.61M</t>
  </si>
  <si>
    <t>The Mummy</t>
  </si>
  <si>
    <t>Doctor Strange in the Multiverse of Madness</t>
  </si>
  <si>
    <t>4,40,936</t>
  </si>
  <si>
    <t>$411.33M</t>
  </si>
  <si>
    <t>The Black Phone</t>
  </si>
  <si>
    <t>Scott Derrickson</t>
  </si>
  <si>
    <t>1,68,369</t>
  </si>
  <si>
    <t>$90.12M</t>
  </si>
  <si>
    <t>The VVitch: A New-England Folktale</t>
  </si>
  <si>
    <t>Robert Eggers</t>
  </si>
  <si>
    <t>2,77,751</t>
  </si>
  <si>
    <t>$25.14M</t>
  </si>
  <si>
    <t>Climax I</t>
  </si>
  <si>
    <t>Drama, Horror, Music</t>
  </si>
  <si>
    <t>Gaspar NoÃ©</t>
  </si>
  <si>
    <t>$0.80M</t>
  </si>
  <si>
    <t>28 Weeks Later</t>
  </si>
  <si>
    <t>Juan Carlos Fresnadillo</t>
  </si>
  <si>
    <t>2,84,000</t>
  </si>
  <si>
    <t>$28.64M</t>
  </si>
  <si>
    <t>Hocus Pocus</t>
  </si>
  <si>
    <t>Comedy, Family, Fantasy</t>
  </si>
  <si>
    <t>Kenny Ortega</t>
  </si>
  <si>
    <t>1,45,947</t>
  </si>
  <si>
    <t>$44.34M</t>
  </si>
  <si>
    <t>Hellraiser</t>
  </si>
  <si>
    <t>Clive Barker</t>
  </si>
  <si>
    <t>1,32,887</t>
  </si>
  <si>
    <t>$14.56M</t>
  </si>
  <si>
    <t>Near Dark</t>
  </si>
  <si>
    <t>Kathryn Bigelow</t>
  </si>
  <si>
    <t>$3.37M</t>
  </si>
  <si>
    <t>Ravenous</t>
  </si>
  <si>
    <t>Adventure, Drama, Horror</t>
  </si>
  <si>
    <t>Antonia Bird</t>
  </si>
  <si>
    <t>$2.06M</t>
  </si>
  <si>
    <t>Altered States</t>
  </si>
  <si>
    <t>Ken Russell</t>
  </si>
  <si>
    <t>$19.85M</t>
  </si>
  <si>
    <t>Stir of Echoes</t>
  </si>
  <si>
    <t>David Koepp</t>
  </si>
  <si>
    <t>$21.13M</t>
  </si>
  <si>
    <t>Bubba Ho-Tep</t>
  </si>
  <si>
    <t>Don Coscarelli</t>
  </si>
  <si>
    <t>$2.00M</t>
  </si>
  <si>
    <t>Drama, Horror, Romance</t>
  </si>
  <si>
    <t>Ana Lily Amirpour</t>
  </si>
  <si>
    <t>The Monster Squad</t>
  </si>
  <si>
    <t>Action, Comedy, Fantasy</t>
  </si>
  <si>
    <t>Fred Dekker</t>
  </si>
  <si>
    <t>$3.77M</t>
  </si>
  <si>
    <t>Creature from the Black Lagoon</t>
  </si>
  <si>
    <t>Jack Arnold</t>
  </si>
  <si>
    <t>$1.30M</t>
  </si>
  <si>
    <t>Troll Hunter</t>
  </si>
  <si>
    <t>AndrÃ© Ã˜vredal</t>
  </si>
  <si>
    <t>$0.25M</t>
  </si>
  <si>
    <t>Shadow of the Vampire</t>
  </si>
  <si>
    <t>E. Elias Merhige</t>
  </si>
  <si>
    <t>$8.29M</t>
  </si>
  <si>
    <t>Frankenweenie</t>
  </si>
  <si>
    <t>Animation, Comedy, Drama</t>
  </si>
  <si>
    <t>1,12,066</t>
  </si>
  <si>
    <t>$35.29M</t>
  </si>
  <si>
    <t>Nope</t>
  </si>
  <si>
    <t>2,32,097</t>
  </si>
  <si>
    <t>$123.28M</t>
  </si>
  <si>
    <t>Luca Guadagnino</t>
  </si>
  <si>
    <t>Ready or Not I</t>
  </si>
  <si>
    <t>Matt Bettinelli-Olpin</t>
  </si>
  <si>
    <t>1,64,600</t>
  </si>
  <si>
    <t>$28.71M</t>
  </si>
  <si>
    <t>Insidious I</t>
  </si>
  <si>
    <t>3,19,707</t>
  </si>
  <si>
    <t>$54.01M</t>
  </si>
  <si>
    <t>It Follows</t>
  </si>
  <si>
    <t>David Robert Mitchell</t>
  </si>
  <si>
    <t>2,53,503</t>
  </si>
  <si>
    <t>$14.67M</t>
  </si>
  <si>
    <t>Annihilation I</t>
  </si>
  <si>
    <t>Alex Garland</t>
  </si>
  <si>
    <t>3,40,306</t>
  </si>
  <si>
    <t>$32.73M</t>
  </si>
  <si>
    <t>Sinister</t>
  </si>
  <si>
    <t>2,64,038</t>
  </si>
  <si>
    <t>$48.09M</t>
  </si>
  <si>
    <t>Us II</t>
  </si>
  <si>
    <t>3,16,383</t>
  </si>
  <si>
    <t>$175.08M</t>
  </si>
  <si>
    <t>The House That Jack Built</t>
  </si>
  <si>
    <t>Lars von Trier</t>
  </si>
  <si>
    <t>The Babadook</t>
  </si>
  <si>
    <t>Jennifer Kent</t>
  </si>
  <si>
    <t>2,34,393</t>
  </si>
  <si>
    <t>$0.92M</t>
  </si>
  <si>
    <t>The Autopsy of Jane Doe</t>
  </si>
  <si>
    <t>1,27,065</t>
  </si>
  <si>
    <t>$0.01M</t>
  </si>
  <si>
    <t>Warm Bodies</t>
  </si>
  <si>
    <t>Comedy, Horror, Romance</t>
  </si>
  <si>
    <t>Jonathan Levine</t>
  </si>
  <si>
    <t>2,36,475</t>
  </si>
  <si>
    <t>$66.38M</t>
  </si>
  <si>
    <t>Hellboy</t>
  </si>
  <si>
    <t>3,38,908</t>
  </si>
  <si>
    <t>$59.62M</t>
  </si>
  <si>
    <t>Stephen Sommers</t>
  </si>
  <si>
    <t>Mikael HÃ¥fstrÃ¶m</t>
  </si>
  <si>
    <t>2,82,365</t>
  </si>
  <si>
    <t>$71.99M</t>
  </si>
  <si>
    <t>The Fog</t>
  </si>
  <si>
    <t>$21.38M</t>
  </si>
  <si>
    <t>Creepshow</t>
  </si>
  <si>
    <t>$21.03M</t>
  </si>
  <si>
    <t>Ginger Snaps</t>
  </si>
  <si>
    <t>John Fawcett</t>
  </si>
  <si>
    <t>$0.00M</t>
  </si>
  <si>
    <t>The Witches</t>
  </si>
  <si>
    <t>Adventure, Comedy, Family</t>
  </si>
  <si>
    <t>$10.36M</t>
  </si>
  <si>
    <t>eXistenZ</t>
  </si>
  <si>
    <t>1,03,653</t>
  </si>
  <si>
    <t>$2.84M</t>
  </si>
  <si>
    <t>Dead Calm</t>
  </si>
  <si>
    <t>Phillip Noyce</t>
  </si>
  <si>
    <t>$7.83M</t>
  </si>
  <si>
    <t>Shin Godzilla</t>
  </si>
  <si>
    <t>Hideaki Anno</t>
  </si>
  <si>
    <t>$1.92M</t>
  </si>
  <si>
    <t>Tom Savini</t>
  </si>
  <si>
    <t>$5.84M</t>
  </si>
  <si>
    <t>House on Haunted Hill</t>
  </si>
  <si>
    <t>Brad Anderson</t>
  </si>
  <si>
    <t>Under the Shadow</t>
  </si>
  <si>
    <t>Babak Anvari</t>
  </si>
  <si>
    <t>$0.03M</t>
  </si>
  <si>
    <t>Tommy Wirkola</t>
  </si>
  <si>
    <t>Suspiria I</t>
  </si>
  <si>
    <t>$2.47M</t>
  </si>
  <si>
    <t>Eden Lake</t>
  </si>
  <si>
    <t>James Watkins</t>
  </si>
  <si>
    <t>Final Destination</t>
  </si>
  <si>
    <t>James Wong</t>
  </si>
  <si>
    <t>2,66,158</t>
  </si>
  <si>
    <t>$53.33M</t>
  </si>
  <si>
    <t>Zombieland: Double Tap</t>
  </si>
  <si>
    <t>1,89,496</t>
  </si>
  <si>
    <t>$73.12M</t>
  </si>
  <si>
    <t>The Devil's Rejects</t>
  </si>
  <si>
    <t>Crime, Horror, Western</t>
  </si>
  <si>
    <t>Rob Zombie</t>
  </si>
  <si>
    <t>1,03,048</t>
  </si>
  <si>
    <t>$17.04M</t>
  </si>
  <si>
    <t>Pandorum</t>
  </si>
  <si>
    <t>Action, Horror, Mystery</t>
  </si>
  <si>
    <t>Christian Alvart</t>
  </si>
  <si>
    <t>1,55,042</t>
  </si>
  <si>
    <t>$10.33M</t>
  </si>
  <si>
    <t>Christine</t>
  </si>
  <si>
    <t>$21.20M</t>
  </si>
  <si>
    <t>Marrowbone</t>
  </si>
  <si>
    <t>Sergio G. SÃ¡nchez</t>
  </si>
  <si>
    <t>The Gift</t>
  </si>
  <si>
    <t>$12.01M</t>
  </si>
  <si>
    <t>Blade II</t>
  </si>
  <si>
    <t>2,25,970</t>
  </si>
  <si>
    <t>$82.35M</t>
  </si>
  <si>
    <t>High Tension</t>
  </si>
  <si>
    <t>Alexandre Aja</t>
  </si>
  <si>
    <t>$3.68M</t>
  </si>
  <si>
    <t>Candyman</t>
  </si>
  <si>
    <t>Bernard Rose</t>
  </si>
  <si>
    <t>$25.79M</t>
  </si>
  <si>
    <t>From Hell</t>
  </si>
  <si>
    <t>Albert Hughes</t>
  </si>
  <si>
    <t>1,59,793</t>
  </si>
  <si>
    <t>$31.60M</t>
  </si>
  <si>
    <t>Leigh Janiak</t>
  </si>
  <si>
    <t>Scanners</t>
  </si>
  <si>
    <t>$14.23M</t>
  </si>
  <si>
    <t>The Exorcism of Emily Rose</t>
  </si>
  <si>
    <t>1,34,571</t>
  </si>
  <si>
    <t>$75.07M</t>
  </si>
  <si>
    <t>Summer of 84</t>
  </si>
  <si>
    <t>FranÃ§ois Simard</t>
  </si>
  <si>
    <t>Michael Dougherty</t>
  </si>
  <si>
    <t>Where the Wild Things Are</t>
  </si>
  <si>
    <t>Adventure, Drama, Family</t>
  </si>
  <si>
    <t>Spike Jonze</t>
  </si>
  <si>
    <t>1,06,812</t>
  </si>
  <si>
    <t>$77.23M</t>
  </si>
  <si>
    <t>Goodnight Mommy</t>
  </si>
  <si>
    <t>Severin Fiala</t>
  </si>
  <si>
    <t>$1.17M</t>
  </si>
  <si>
    <t>Spring I</t>
  </si>
  <si>
    <t>Horror, Romance, Sci-Fi</t>
  </si>
  <si>
    <t>Justin Benson</t>
  </si>
  <si>
    <t>Tales from the Crypt: Demon Knight</t>
  </si>
  <si>
    <t>Ernest R. Dickerson</t>
  </si>
  <si>
    <t>$21.09M</t>
  </si>
  <si>
    <t>Ju-on: The Grudge</t>
  </si>
  <si>
    <t>Takashi Shimizu</t>
  </si>
  <si>
    <t>$0.33M</t>
  </si>
  <si>
    <t>Turbo Kid</t>
  </si>
  <si>
    <t>Action, Adventure, Comedy</t>
  </si>
  <si>
    <t>Cronos</t>
  </si>
  <si>
    <t>$0.62M</t>
  </si>
  <si>
    <t>Gerard Johnstone</t>
  </si>
  <si>
    <t>Dark Water</t>
  </si>
  <si>
    <t>Fido</t>
  </si>
  <si>
    <t>Andrew Currie</t>
  </si>
  <si>
    <t>Mother!</t>
  </si>
  <si>
    <t>2,36,605</t>
  </si>
  <si>
    <t>$17.80M</t>
  </si>
  <si>
    <t>Event Horizon</t>
  </si>
  <si>
    <t>Paul W.S. Anderson</t>
  </si>
  <si>
    <t>1,88,518</t>
  </si>
  <si>
    <t>$26.67M</t>
  </si>
  <si>
    <t>Life I</t>
  </si>
  <si>
    <t>Daniel Espinosa</t>
  </si>
  <si>
    <t>2,40,377</t>
  </si>
  <si>
    <t>$30.23M</t>
  </si>
  <si>
    <t>Resident Evil</t>
  </si>
  <si>
    <t>2,79,094</t>
  </si>
  <si>
    <t>$40.12M</t>
  </si>
  <si>
    <t>You're Next</t>
  </si>
  <si>
    <t>Adam Wingard</t>
  </si>
  <si>
    <t>1,04,174</t>
  </si>
  <si>
    <t>$18.47M</t>
  </si>
  <si>
    <t>The Faculty</t>
  </si>
  <si>
    <t>1,28,887</t>
  </si>
  <si>
    <t>$40.06M</t>
  </si>
  <si>
    <t>Glass</t>
  </si>
  <si>
    <t>2,54,065</t>
  </si>
  <si>
    <t>$111.05M</t>
  </si>
  <si>
    <t>Drag Me to Hell</t>
  </si>
  <si>
    <t>2,10,357</t>
  </si>
  <si>
    <t>$42.10M</t>
  </si>
  <si>
    <t>30 Days of Night</t>
  </si>
  <si>
    <t>David Slade</t>
  </si>
  <si>
    <t>1,82,693</t>
  </si>
  <si>
    <t>$39.57M</t>
  </si>
  <si>
    <t>What Lies Beneath</t>
  </si>
  <si>
    <t>Robert Zemeckis</t>
  </si>
  <si>
    <t>1,30,856</t>
  </si>
  <si>
    <t>$155.46M</t>
  </si>
  <si>
    <t>Death Becomes Her</t>
  </si>
  <si>
    <t>1,24,437</t>
  </si>
  <si>
    <t>$58.42M</t>
  </si>
  <si>
    <t>Child's Play</t>
  </si>
  <si>
    <t>1,08,877</t>
  </si>
  <si>
    <t>$33.24M</t>
  </si>
  <si>
    <t>The Invitation I</t>
  </si>
  <si>
    <t>Karyn Kusama</t>
  </si>
  <si>
    <t>1,14,221</t>
  </si>
  <si>
    <t>$0.23M</t>
  </si>
  <si>
    <t>Happy Death Day</t>
  </si>
  <si>
    <t>Christopher Landon</t>
  </si>
  <si>
    <t>1,51,732</t>
  </si>
  <si>
    <t>$55.68M</t>
  </si>
  <si>
    <t>Overlord</t>
  </si>
  <si>
    <t>Julius Avery</t>
  </si>
  <si>
    <t>1,02,874</t>
  </si>
  <si>
    <t>$21.70M</t>
  </si>
  <si>
    <t>Prince of Darkness</t>
  </si>
  <si>
    <t>$14.18M</t>
  </si>
  <si>
    <t>Saw II</t>
  </si>
  <si>
    <t>Darren Lynn Bousman</t>
  </si>
  <si>
    <t>2,60,764</t>
  </si>
  <si>
    <t>$87.04M</t>
  </si>
  <si>
    <t>From Beyond</t>
  </si>
  <si>
    <t>$1.26M</t>
  </si>
  <si>
    <t>A Nightmare on Elm Street 3: Dream Warriors</t>
  </si>
  <si>
    <t>Chuck Russell</t>
  </si>
  <si>
    <t>$44.79M</t>
  </si>
  <si>
    <t>Hotel Transylvania 2</t>
  </si>
  <si>
    <t>1,34,482</t>
  </si>
  <si>
    <t>$169.70M</t>
  </si>
  <si>
    <t>The Hunger</t>
  </si>
  <si>
    <t>Tony Scott</t>
  </si>
  <si>
    <t>$5.98M</t>
  </si>
  <si>
    <t>The Blob</t>
  </si>
  <si>
    <t>$8.25M</t>
  </si>
  <si>
    <t>Crime, Horror</t>
  </si>
  <si>
    <t>Psycho II</t>
  </si>
  <si>
    <t>Richard Franklin</t>
  </si>
  <si>
    <t>$34.73M</t>
  </si>
  <si>
    <t>May</t>
  </si>
  <si>
    <t>Lucky McKee</t>
  </si>
  <si>
    <t>Phantasm</t>
  </si>
  <si>
    <t>$11.99M</t>
  </si>
  <si>
    <t>Rare Exports</t>
  </si>
  <si>
    <t>Adventure, Fantasy, Horror</t>
  </si>
  <si>
    <t>Jalmari Helander</t>
  </si>
  <si>
    <t>$0.26M</t>
  </si>
  <si>
    <t>The Eye</t>
  </si>
  <si>
    <t>Danny Pang</t>
  </si>
  <si>
    <t>Evil Dead</t>
  </si>
  <si>
    <t>1,87,737</t>
  </si>
  <si>
    <t>$54.24M</t>
  </si>
  <si>
    <t>It Chapter Two</t>
  </si>
  <si>
    <t>2,81,137</t>
  </si>
  <si>
    <t>$211.59M</t>
  </si>
  <si>
    <t>The Hunt II</t>
  </si>
  <si>
    <t>Craig Zobel</t>
  </si>
  <si>
    <t>1,20,400</t>
  </si>
  <si>
    <t>$5.81M</t>
  </si>
  <si>
    <t>Silent Hill</t>
  </si>
  <si>
    <t>2,36,727</t>
  </si>
  <si>
    <t>$46.98M</t>
  </si>
  <si>
    <t>Antichrist</t>
  </si>
  <si>
    <t>1,31,305</t>
  </si>
  <si>
    <t>$0.40M</t>
  </si>
  <si>
    <t>Insidious: Chapter 2</t>
  </si>
  <si>
    <t>1,77,423</t>
  </si>
  <si>
    <t>$83.59M</t>
  </si>
  <si>
    <t>The Last House on the Left</t>
  </si>
  <si>
    <t>Dennis Iliadis</t>
  </si>
  <si>
    <t>$32.75M</t>
  </si>
  <si>
    <t>Mandy I</t>
  </si>
  <si>
    <t>Panos Cosmatos</t>
  </si>
  <si>
    <t>$1.21M</t>
  </si>
  <si>
    <t>Slither</t>
  </si>
  <si>
    <t>James Gunn</t>
  </si>
  <si>
    <t>$7.77M</t>
  </si>
  <si>
    <t>The Blair Witch Project</t>
  </si>
  <si>
    <t>Daniel Myrick</t>
  </si>
  <si>
    <t>2,71,349</t>
  </si>
  <si>
    <t>$140.54M</t>
  </si>
  <si>
    <t>The Endless I</t>
  </si>
  <si>
    <t>$0.27M</t>
  </si>
  <si>
    <t>Oculus</t>
  </si>
  <si>
    <t>1,33,932</t>
  </si>
  <si>
    <t>$27.70M</t>
  </si>
  <si>
    <t>The Howling</t>
  </si>
  <si>
    <t>$17.99M</t>
  </si>
  <si>
    <t>Annabelle: Creation</t>
  </si>
  <si>
    <t>David F. Sandberg</t>
  </si>
  <si>
    <t>1,41,513</t>
  </si>
  <si>
    <t>$102.09M</t>
  </si>
  <si>
    <t>Crimson Peak</t>
  </si>
  <si>
    <t>1,53,040</t>
  </si>
  <si>
    <t>$31.09M</t>
  </si>
  <si>
    <t>Halloween I</t>
  </si>
  <si>
    <t>David Gordon Green</t>
  </si>
  <si>
    <t>1,60,731</t>
  </si>
  <si>
    <t>$159.34M</t>
  </si>
  <si>
    <t>Pet Sematary</t>
  </si>
  <si>
    <t>Fantasy, Horror, Thriller</t>
  </si>
  <si>
    <t>Mary Lambert</t>
  </si>
  <si>
    <t>1,09,162</t>
  </si>
  <si>
    <t>$57.47M</t>
  </si>
  <si>
    <t>Arachnophobia</t>
  </si>
  <si>
    <t>Frank Marshall</t>
  </si>
  <si>
    <t>$53.21M</t>
  </si>
  <si>
    <t>The Crazies</t>
  </si>
  <si>
    <t>Breck Eisner</t>
  </si>
  <si>
    <t>1,25,273</t>
  </si>
  <si>
    <t>$39.12M</t>
  </si>
  <si>
    <t>The Skeleton Key</t>
  </si>
  <si>
    <t>Iain Softley</t>
  </si>
  <si>
    <t>1,18,968</t>
  </si>
  <si>
    <t>$47.81M</t>
  </si>
  <si>
    <t>Better Watch Out II</t>
  </si>
  <si>
    <t>Chris Peckover</t>
  </si>
  <si>
    <t>$0.02M</t>
  </si>
  <si>
    <t>The Exorcist III</t>
  </si>
  <si>
    <t>William Peter Blatty</t>
  </si>
  <si>
    <t>$26.10M</t>
  </si>
  <si>
    <t>The Witches of Eastwick</t>
  </si>
  <si>
    <t>George Miller</t>
  </si>
  <si>
    <t>$63.77M</t>
  </si>
  <si>
    <t>Halloween II</t>
  </si>
  <si>
    <t>Rick Rosenthal</t>
  </si>
  <si>
    <t>$25.53M</t>
  </si>
  <si>
    <t>Flatliners</t>
  </si>
  <si>
    <t>$61.49M</t>
  </si>
  <si>
    <t>Adventure, Horror, Mystery</t>
  </si>
  <si>
    <t>Byzantium</t>
  </si>
  <si>
    <t>[Rec]Â²</t>
  </si>
  <si>
    <t>Sightseers</t>
  </si>
  <si>
    <t>Adventure, Comedy, Crime</t>
  </si>
  <si>
    <t>Ben Wheatley</t>
  </si>
  <si>
    <t>M3GAN</t>
  </si>
  <si>
    <t>1,06,598</t>
  </si>
  <si>
    <t>$93.88M</t>
  </si>
  <si>
    <t>Alien: Covenant</t>
  </si>
  <si>
    <t>2,90,465</t>
  </si>
  <si>
    <t>$74.26M</t>
  </si>
  <si>
    <t>Escape Room I</t>
  </si>
  <si>
    <t>Adam Robitel</t>
  </si>
  <si>
    <t>1,31,872</t>
  </si>
  <si>
    <t>$57.01M</t>
  </si>
  <si>
    <t>Friday the 13th</t>
  </si>
  <si>
    <t>Sean S. Cunningham</t>
  </si>
  <si>
    <t>1,46,665</t>
  </si>
  <si>
    <t>$39.75M</t>
  </si>
  <si>
    <t>The Craft</t>
  </si>
  <si>
    <t>Andrew Fleming</t>
  </si>
  <si>
    <t>$24.88M</t>
  </si>
  <si>
    <t>The Hills Have Eyes</t>
  </si>
  <si>
    <t>1,77,032</t>
  </si>
  <si>
    <t>$41.78M</t>
  </si>
  <si>
    <t>AlienÂ³</t>
  </si>
  <si>
    <t>David Fincher</t>
  </si>
  <si>
    <t>3,08,197</t>
  </si>
  <si>
    <t>$55.47M</t>
  </si>
  <si>
    <t>A Cure for Wellness</t>
  </si>
  <si>
    <t>1,04,306</t>
  </si>
  <si>
    <t>$8.11M</t>
  </si>
  <si>
    <t>The Cell</t>
  </si>
  <si>
    <t>Crime, Horror, Sci-Fi</t>
  </si>
  <si>
    <t>Tarsem Singh</t>
  </si>
  <si>
    <t>1,05,734</t>
  </si>
  <si>
    <t>$61.33M</t>
  </si>
  <si>
    <t>Revenge II</t>
  </si>
  <si>
    <t>Coralie Fargeat</t>
  </si>
  <si>
    <t>$0.10M</t>
  </si>
  <si>
    <t>Craig Gillespie</t>
  </si>
  <si>
    <t>1,09,829</t>
  </si>
  <si>
    <t>$18.30M</t>
  </si>
  <si>
    <t>Twilight Zone: The Movie</t>
  </si>
  <si>
    <t>$29.50M</t>
  </si>
  <si>
    <t>The Purge: Anarchy</t>
  </si>
  <si>
    <t>James DeMonaco</t>
  </si>
  <si>
    <t>1,56,986</t>
  </si>
  <si>
    <t>$71.96M</t>
  </si>
  <si>
    <t>Gremlins 2: The New Batch</t>
  </si>
  <si>
    <t>1,08,188</t>
  </si>
  <si>
    <t>$41.48M</t>
  </si>
  <si>
    <t>Black Death</t>
  </si>
  <si>
    <t>Action, Drama, History</t>
  </si>
  <si>
    <t>Christopher Smith</t>
  </si>
  <si>
    <t>The People Under the Stairs</t>
  </si>
  <si>
    <t>$24.20M</t>
  </si>
  <si>
    <t>Horns</t>
  </si>
  <si>
    <t>Comedy, Crime, Drama</t>
  </si>
  <si>
    <t>$0.16M</t>
  </si>
  <si>
    <t>The Serpent and the Rainbow</t>
  </si>
  <si>
    <t>$19.60M</t>
  </si>
  <si>
    <t>Tale of Tales</t>
  </si>
  <si>
    <t>Matteo Garrone</t>
  </si>
  <si>
    <t>Daybreakers</t>
  </si>
  <si>
    <t>Michael Spierig</t>
  </si>
  <si>
    <t>1,31,778</t>
  </si>
  <si>
    <t>$30.10M</t>
  </si>
  <si>
    <t>The Woman in Black</t>
  </si>
  <si>
    <t>1,87,998</t>
  </si>
  <si>
    <t>$54.33M</t>
  </si>
  <si>
    <t>Silver Bullet</t>
  </si>
  <si>
    <t>Daniel Attias</t>
  </si>
  <si>
    <t>$5.40M</t>
  </si>
  <si>
    <t>Kill List</t>
  </si>
  <si>
    <t>New Nightmare</t>
  </si>
  <si>
    <t>$18.09M</t>
  </si>
  <si>
    <t>Repo! The Genetic Opera</t>
  </si>
  <si>
    <t>Horror, Musical, Sci-Fi</t>
  </si>
  <si>
    <t>$0.14M</t>
  </si>
  <si>
    <t>The Mothman Prophecies</t>
  </si>
  <si>
    <t>Mark Pellington</t>
  </si>
  <si>
    <t>$35.75M</t>
  </si>
  <si>
    <t>Session 9</t>
  </si>
  <si>
    <t>$0.38M</t>
  </si>
  <si>
    <t>Unsane</t>
  </si>
  <si>
    <t>Steven Soderbergh</t>
  </si>
  <si>
    <t>$7.73M</t>
  </si>
  <si>
    <t>Hellbound: Hellraiser II</t>
  </si>
  <si>
    <t>Tony Randel</t>
  </si>
  <si>
    <t>$11.09M</t>
  </si>
  <si>
    <t>Ghost Stories I</t>
  </si>
  <si>
    <t>Jeremy Dyson</t>
  </si>
  <si>
    <t>The Prophecy</t>
  </si>
  <si>
    <t>Gregory Widen</t>
  </si>
  <si>
    <t>$16.12M</t>
  </si>
  <si>
    <t>Severance</t>
  </si>
  <si>
    <t>David Moreau</t>
  </si>
  <si>
    <t>Stake Land</t>
  </si>
  <si>
    <t>Jim Mickle</t>
  </si>
  <si>
    <t>Night Watch</t>
  </si>
  <si>
    <t>Timur Bekmambetov</t>
  </si>
  <si>
    <t>$1.49M</t>
  </si>
  <si>
    <t>Day Watch</t>
  </si>
  <si>
    <t>$0.45M</t>
  </si>
  <si>
    <t>Scream I</t>
  </si>
  <si>
    <t>1,38,199</t>
  </si>
  <si>
    <t>$81.64M</t>
  </si>
  <si>
    <t>Under the Skin I</t>
  </si>
  <si>
    <t>Jonathan Glazer</t>
  </si>
  <si>
    <t>1,49,804</t>
  </si>
  <si>
    <t>$2.61M</t>
  </si>
  <si>
    <t>Scream 2</t>
  </si>
  <si>
    <t>1,97,955</t>
  </si>
  <si>
    <t>$101.36M</t>
  </si>
  <si>
    <t>Lights Out II</t>
  </si>
  <si>
    <t>1,35,897</t>
  </si>
  <si>
    <t>$67.27M</t>
  </si>
  <si>
    <t>The Conjuring: The Devil Made Me Do It</t>
  </si>
  <si>
    <t>Michael Chaves</t>
  </si>
  <si>
    <t>1,25,072</t>
  </si>
  <si>
    <t>$65.63M</t>
  </si>
  <si>
    <t>Scouts Guide to the Zombie Apocalypse</t>
  </si>
  <si>
    <t>$3.64M</t>
  </si>
  <si>
    <t>The Shallows</t>
  </si>
  <si>
    <t>1,38,096</t>
  </si>
  <si>
    <t>$55.12M</t>
  </si>
  <si>
    <t>Paranormal Activity</t>
  </si>
  <si>
    <t>Oren Peli</t>
  </si>
  <si>
    <t>2,47,532</t>
  </si>
  <si>
    <t>$107.92M</t>
  </si>
  <si>
    <t>Devil</t>
  </si>
  <si>
    <t>John Erick Dowdle</t>
  </si>
  <si>
    <t>1,51,728</t>
  </si>
  <si>
    <t>$33.58M</t>
  </si>
  <si>
    <t>Goosebumps</t>
  </si>
  <si>
    <t>Adventure, Comedy, Fantasy</t>
  </si>
  <si>
    <t>Rob Letterman</t>
  </si>
  <si>
    <t>$80.08M</t>
  </si>
  <si>
    <t>Predator 2</t>
  </si>
  <si>
    <t>Stephen Hopkins</t>
  </si>
  <si>
    <t>1,74,998</t>
  </si>
  <si>
    <t>$30.67M</t>
  </si>
  <si>
    <t>The Collector I</t>
  </si>
  <si>
    <t>Marcus Dunstan</t>
  </si>
  <si>
    <t>$7.71M</t>
  </si>
  <si>
    <t>Hotel Transylvania 3: Summer Vacation</t>
  </si>
  <si>
    <t>$167.51M</t>
  </si>
  <si>
    <t>$25.00M</t>
  </si>
  <si>
    <t>Dark Skies</t>
  </si>
  <si>
    <t>Scott Stewart</t>
  </si>
  <si>
    <t>$17.41M</t>
  </si>
  <si>
    <t>The House of the Devil</t>
  </si>
  <si>
    <t>Kenneth Branagh</t>
  </si>
  <si>
    <t>$22.01M</t>
  </si>
  <si>
    <t>Berlin Syndrome</t>
  </si>
  <si>
    <t>Cate Shortland</t>
  </si>
  <si>
    <t>The Uninvited</t>
  </si>
  <si>
    <t>Charles Guard</t>
  </si>
  <si>
    <t>$28.57M</t>
  </si>
  <si>
    <t>Cat's Eye</t>
  </si>
  <si>
    <t>Lewis Teague</t>
  </si>
  <si>
    <t>$13.09M</t>
  </si>
  <si>
    <t>Underworld: Awakening</t>
  </si>
  <si>
    <t>MÃ¥ns MÃ¥rlind</t>
  </si>
  <si>
    <t>1,57,941</t>
  </si>
  <si>
    <t>$62.32M</t>
  </si>
  <si>
    <t>The Vanishing</t>
  </si>
  <si>
    <t>George Sluizer</t>
  </si>
  <si>
    <t>$14.54M</t>
  </si>
  <si>
    <t>Mindhunters</t>
  </si>
  <si>
    <t>Renny Harlin</t>
  </si>
  <si>
    <t>$4.48M</t>
  </si>
  <si>
    <t>Ãlex de la Iglesia</t>
  </si>
  <si>
    <t>Screamers</t>
  </si>
  <si>
    <t>Christian Duguay</t>
  </si>
  <si>
    <t>$5.78M</t>
  </si>
  <si>
    <t>Dead Snow</t>
  </si>
  <si>
    <t>13 Sins</t>
  </si>
  <si>
    <t>Daniel Stamm</t>
  </si>
  <si>
    <t>Tideland</t>
  </si>
  <si>
    <t>Terry Gilliam</t>
  </si>
  <si>
    <t>$0.07M</t>
  </si>
  <si>
    <t>John Dies at the End</t>
  </si>
  <si>
    <t>Scream 4</t>
  </si>
  <si>
    <t>1,62,144</t>
  </si>
  <si>
    <t>$38.18M</t>
  </si>
  <si>
    <t>I Spit on Your Grave</t>
  </si>
  <si>
    <t>Steven R. Monroe</t>
  </si>
  <si>
    <t>The Visit I</t>
  </si>
  <si>
    <t>1,42,097</t>
  </si>
  <si>
    <t>$65.21M</t>
  </si>
  <si>
    <t>Jeepers Creepers</t>
  </si>
  <si>
    <t>Victor Salva</t>
  </si>
  <si>
    <t>1,35,446</t>
  </si>
  <si>
    <t>$37.90M</t>
  </si>
  <si>
    <t>The Thing I</t>
  </si>
  <si>
    <t>Matthijs van Heijningen Jr.</t>
  </si>
  <si>
    <t>1,39,897</t>
  </si>
  <si>
    <t>$16.93M</t>
  </si>
  <si>
    <t>Mama I</t>
  </si>
  <si>
    <t>1,86,159</t>
  </si>
  <si>
    <t>$71.63M</t>
  </si>
  <si>
    <t>As Above, So Below</t>
  </si>
  <si>
    <t>1,01,124</t>
  </si>
  <si>
    <t>Wolf Creek</t>
  </si>
  <si>
    <t>Greg McLean</t>
  </si>
  <si>
    <t>$16.19M</t>
  </si>
  <si>
    <t>Dark Shadows</t>
  </si>
  <si>
    <t>2,73,371</t>
  </si>
  <si>
    <t>$79.73M</t>
  </si>
  <si>
    <t>Alien: Resurrection</t>
  </si>
  <si>
    <t>Jean-Pierre Jeunet</t>
  </si>
  <si>
    <t>2,54,632</t>
  </si>
  <si>
    <t>$47.75M</t>
  </si>
  <si>
    <t>Sleepaway Camp</t>
  </si>
  <si>
    <t>Robert Hiltzik</t>
  </si>
  <si>
    <t>$11.00M</t>
  </si>
  <si>
    <t>Dracula Untold</t>
  </si>
  <si>
    <t>Action, Drama, Fantasy</t>
  </si>
  <si>
    <t>Gary Shore</t>
  </si>
  <si>
    <t>2,01,494</t>
  </si>
  <si>
    <t>$56.28M</t>
  </si>
  <si>
    <t>Final Destination 2</t>
  </si>
  <si>
    <t>David R. Ellis</t>
  </si>
  <si>
    <t>1,74,051</t>
  </si>
  <si>
    <t>$46.96M</t>
  </si>
  <si>
    <t>The Texas Chainsaw Massacre</t>
  </si>
  <si>
    <t>Marcus Nispel</t>
  </si>
  <si>
    <t>1,47,172</t>
  </si>
  <si>
    <t>$80.57M</t>
  </si>
  <si>
    <t>Scary Stories to Tell in the Dark</t>
  </si>
  <si>
    <t>$68.95M</t>
  </si>
  <si>
    <t>Deliver Us from Evil I</t>
  </si>
  <si>
    <t>Action, Adventure, Crime</t>
  </si>
  <si>
    <t>$30.58M</t>
  </si>
  <si>
    <t>It Comes at Night</t>
  </si>
  <si>
    <t>Trey Edward Shults</t>
  </si>
  <si>
    <t>$13.99M</t>
  </si>
  <si>
    <t>Paco Plaza</t>
  </si>
  <si>
    <t>Case 39</t>
  </si>
  <si>
    <t>$13.25M</t>
  </si>
  <si>
    <t>Ouija: Origin of Evil</t>
  </si>
  <si>
    <t>$35.14M</t>
  </si>
  <si>
    <t>Killer Klowns from Outer Space</t>
  </si>
  <si>
    <t>Stephen Chiodo</t>
  </si>
  <si>
    <t>$15.63M</t>
  </si>
  <si>
    <t>Feast</t>
  </si>
  <si>
    <t>John Gulager</t>
  </si>
  <si>
    <t>Rogue</t>
  </si>
  <si>
    <t>Resident Evil: Extinction</t>
  </si>
  <si>
    <t>Russell Mulcahy</t>
  </si>
  <si>
    <t>2,00,494</t>
  </si>
  <si>
    <t>$50.65M</t>
  </si>
  <si>
    <t>Idle Hands</t>
  </si>
  <si>
    <t>Rodman Flender</t>
  </si>
  <si>
    <t>$4.00M</t>
  </si>
  <si>
    <t>Saw III</t>
  </si>
  <si>
    <t>1,99,970</t>
  </si>
  <si>
    <t>$80.24M</t>
  </si>
  <si>
    <t>Vacancy</t>
  </si>
  <si>
    <t>NimrÃ³d Antal</t>
  </si>
  <si>
    <t>1,04,096</t>
  </si>
  <si>
    <t>$19.36M</t>
  </si>
  <si>
    <t>Wolf</t>
  </si>
  <si>
    <t>Mike Nichols</t>
  </si>
  <si>
    <t>$65.01M</t>
  </si>
  <si>
    <t>Land of the Dead</t>
  </si>
  <si>
    <t>$20.70M</t>
  </si>
  <si>
    <t>Xavier Gens</t>
  </si>
  <si>
    <t>Stigmata</t>
  </si>
  <si>
    <t>Rupert Wainwright</t>
  </si>
  <si>
    <t>$50.05M</t>
  </si>
  <si>
    <t>Happy Death Day 2U</t>
  </si>
  <si>
    <t>$28.15M</t>
  </si>
  <si>
    <t>Damien: Omen II</t>
  </si>
  <si>
    <t>Don Taylor</t>
  </si>
  <si>
    <t>$3.88M</t>
  </si>
  <si>
    <t>Pumpkinhead</t>
  </si>
  <si>
    <t>Stan Winston</t>
  </si>
  <si>
    <t>$4.39M</t>
  </si>
  <si>
    <t>Krampus I</t>
  </si>
  <si>
    <t>$42.59M</t>
  </si>
  <si>
    <t>Needful Things</t>
  </si>
  <si>
    <t>Crime, Drama, Fantasy</t>
  </si>
  <si>
    <t>Fraser C. Heston</t>
  </si>
  <si>
    <t>$15.19M</t>
  </si>
  <si>
    <t>Gonzalo LÃ³pez-Gallego</t>
  </si>
  <si>
    <t>Wrong Turn I</t>
  </si>
  <si>
    <t>Rob Schmidt</t>
  </si>
  <si>
    <t>1,25,830</t>
  </si>
  <si>
    <t>$15.42M</t>
  </si>
  <si>
    <t>Lifeforce</t>
  </si>
  <si>
    <t>$11.60M</t>
  </si>
  <si>
    <t>The Neon Demon</t>
  </si>
  <si>
    <t>Nicolas Winding Refn</t>
  </si>
  <si>
    <t>$1.33M</t>
  </si>
  <si>
    <t>Brightburn</t>
  </si>
  <si>
    <t>David Yarovesky</t>
  </si>
  <si>
    <t>1,02,749</t>
  </si>
  <si>
    <t>$17.30M</t>
  </si>
  <si>
    <t>The Strangers</t>
  </si>
  <si>
    <t>Bryan Bertino</t>
  </si>
  <si>
    <t>1,36,286</t>
  </si>
  <si>
    <t>$52.60M</t>
  </si>
  <si>
    <t>Insidious: Chapter 3</t>
  </si>
  <si>
    <t>1,09,420</t>
  </si>
  <si>
    <t>$52.22M</t>
  </si>
  <si>
    <t>Friday the 13th Part 2</t>
  </si>
  <si>
    <t>Steve Miner</t>
  </si>
  <si>
    <t>$21.72M</t>
  </si>
  <si>
    <t>Crawl I</t>
  </si>
  <si>
    <t>$39.01M</t>
  </si>
  <si>
    <t>Hansel &amp; Gretel: Witch Hunters</t>
  </si>
  <si>
    <t>2,11,488</t>
  </si>
  <si>
    <t>$55.70M</t>
  </si>
  <si>
    <t>Resident Evil: Apocalypse</t>
  </si>
  <si>
    <t>Alexander Witt</t>
  </si>
  <si>
    <t>2,04,741</t>
  </si>
  <si>
    <t>$51.20M</t>
  </si>
  <si>
    <t>Maniac</t>
  </si>
  <si>
    <t>Franck Khalfoun</t>
  </si>
  <si>
    <t>The Oxford Murders</t>
  </si>
  <si>
    <t>The Belko Experiment</t>
  </si>
  <si>
    <t>$10.16M</t>
  </si>
  <si>
    <t>Dead Silence</t>
  </si>
  <si>
    <t>$16.81M</t>
  </si>
  <si>
    <t>Mirrors I</t>
  </si>
  <si>
    <t>1,10,546</t>
  </si>
  <si>
    <t>$30.69M</t>
  </si>
  <si>
    <t>The Amityville Horror</t>
  </si>
  <si>
    <t>Stuart Rosenberg</t>
  </si>
  <si>
    <t>$86.43M</t>
  </si>
  <si>
    <t>Critters</t>
  </si>
  <si>
    <t>Stephen Herek</t>
  </si>
  <si>
    <t>$13.17M</t>
  </si>
  <si>
    <t>Deep Rising</t>
  </si>
  <si>
    <t>$11.20M</t>
  </si>
  <si>
    <t>Vampires</t>
  </si>
  <si>
    <t>$20.24M</t>
  </si>
  <si>
    <t>$19.44M</t>
  </si>
  <si>
    <t>Cujo</t>
  </si>
  <si>
    <t>The Collection II</t>
  </si>
  <si>
    <t>$12.84M</t>
  </si>
  <si>
    <t>Red State</t>
  </si>
  <si>
    <t>Kevin Smith</t>
  </si>
  <si>
    <t>$1.10M</t>
  </si>
  <si>
    <t>Bug</t>
  </si>
  <si>
    <t>$7.01M</t>
  </si>
  <si>
    <t>M.J. Bassett</t>
  </si>
  <si>
    <t>Hobo with a Shotgun</t>
  </si>
  <si>
    <t>Jason Eisener</t>
  </si>
  <si>
    <t>$0.70M</t>
  </si>
  <si>
    <t>Don't Breathe 2</t>
  </si>
  <si>
    <t>Rodo Sayagues</t>
  </si>
  <si>
    <t>$32.64M</t>
  </si>
  <si>
    <t>House of 1000 Corpses</t>
  </si>
  <si>
    <t>$12.63M</t>
  </si>
  <si>
    <t>1,25,977</t>
  </si>
  <si>
    <t>$58.27M</t>
  </si>
  <si>
    <t>The Boy</t>
  </si>
  <si>
    <t>William Brent Bell</t>
  </si>
  <si>
    <t>$35.82M</t>
  </si>
  <si>
    <t>Friday the 13th: The Final Chapter</t>
  </si>
  <si>
    <t>Joseph Zito</t>
  </si>
  <si>
    <t>$32.98M</t>
  </si>
  <si>
    <t>The Midnight Meat Train</t>
  </si>
  <si>
    <t>RyÃ»hei Kitamura</t>
  </si>
  <si>
    <t>The Purge: Election Year</t>
  </si>
  <si>
    <t>1,05,370</t>
  </si>
  <si>
    <t>$79.21M</t>
  </si>
  <si>
    <t>Unfriended: Dark Web</t>
  </si>
  <si>
    <t>Stephen Susco</t>
  </si>
  <si>
    <t>$8.78M</t>
  </si>
  <si>
    <t>Mimic</t>
  </si>
  <si>
    <t>$25.48M</t>
  </si>
  <si>
    <t>Friday the 13th Part VI: Jason Lives</t>
  </si>
  <si>
    <t>Tom McLoughlin</t>
  </si>
  <si>
    <t>$19.47M</t>
  </si>
  <si>
    <t>Captive State</t>
  </si>
  <si>
    <t>Rupert Wyatt</t>
  </si>
  <si>
    <t>$5.96M</t>
  </si>
  <si>
    <t>Saw VI</t>
  </si>
  <si>
    <t>Kevin Greutert</t>
  </si>
  <si>
    <t>1,16,425</t>
  </si>
  <si>
    <t>$27.69M</t>
  </si>
  <si>
    <t>Creepshow 2</t>
  </si>
  <si>
    <t>Michael Gornick</t>
  </si>
  <si>
    <t>$14.00M</t>
  </si>
  <si>
    <t>The Rite</t>
  </si>
  <si>
    <t>1,00,541</t>
  </si>
  <si>
    <t>$33.05M</t>
  </si>
  <si>
    <t>Firestarter</t>
  </si>
  <si>
    <t>Mark L. Lester</t>
  </si>
  <si>
    <t>$15.10M</t>
  </si>
  <si>
    <t>V/H/S/2</t>
  </si>
  <si>
    <t>Simon Barrett</t>
  </si>
  <si>
    <t>Hostel</t>
  </si>
  <si>
    <t>Eli Roth</t>
  </si>
  <si>
    <t>1,85,172</t>
  </si>
  <si>
    <t>$47.33M</t>
  </si>
  <si>
    <t>Underwater</t>
  </si>
  <si>
    <t>William Eubank</t>
  </si>
  <si>
    <t>$17.29M</t>
  </si>
  <si>
    <t>Abraham Lincoln: Vampire Hunter</t>
  </si>
  <si>
    <t>1,58,657</t>
  </si>
  <si>
    <t>$37.52M</t>
  </si>
  <si>
    <t>Nia DaCosta</t>
  </si>
  <si>
    <t>$61.19M</t>
  </si>
  <si>
    <t>$3.10M</t>
  </si>
  <si>
    <t>Andrew Douglas</t>
  </si>
  <si>
    <t>1,14,596</t>
  </si>
  <si>
    <t>$65.23M</t>
  </si>
  <si>
    <t>Annabelle Comes Home</t>
  </si>
  <si>
    <t>Gary Dauberman</t>
  </si>
  <si>
    <t>$74.15M</t>
  </si>
  <si>
    <t>Final Destination 5</t>
  </si>
  <si>
    <t>Steven Quale</t>
  </si>
  <si>
    <t>1,20,525</t>
  </si>
  <si>
    <t>The Grudge</t>
  </si>
  <si>
    <t>1,47,865</t>
  </si>
  <si>
    <t>$110.36M</t>
  </si>
  <si>
    <t>The Void I</t>
  </si>
  <si>
    <t>Jeremy Gillespie</t>
  </si>
  <si>
    <t>Adventure, Horror</t>
  </si>
  <si>
    <t>John Guillermin</t>
  </si>
  <si>
    <t>$52.61M</t>
  </si>
  <si>
    <t>The Fourth Kind</t>
  </si>
  <si>
    <t>Olatunde Osunsanmi</t>
  </si>
  <si>
    <t>$25.46M</t>
  </si>
  <si>
    <t>The Brothers Grimm</t>
  </si>
  <si>
    <t>1,23,953</t>
  </si>
  <si>
    <t>$37.92M</t>
  </si>
  <si>
    <t>Hide and Seek</t>
  </si>
  <si>
    <t>John Polson</t>
  </si>
  <si>
    <t>$51.10M</t>
  </si>
  <si>
    <t>The Possession I</t>
  </si>
  <si>
    <t>Ole Bornedal</t>
  </si>
  <si>
    <t>$49.13M</t>
  </si>
  <si>
    <t>The Ruins</t>
  </si>
  <si>
    <t>Carter Smith</t>
  </si>
  <si>
    <t>$17.43M</t>
  </si>
  <si>
    <t>Saw IV</t>
  </si>
  <si>
    <t>1,55,334</t>
  </si>
  <si>
    <t>$63.30M</t>
  </si>
  <si>
    <t>Child's Play 2</t>
  </si>
  <si>
    <t>John Lafia</t>
  </si>
  <si>
    <t>$28.50M</t>
  </si>
  <si>
    <t>Victor Frankenstein</t>
  </si>
  <si>
    <t>Paul McGuigan</t>
  </si>
  <si>
    <t>The X Files: I Want to Believe</t>
  </si>
  <si>
    <t>Chris Carter</t>
  </si>
  <si>
    <t>$20.98M</t>
  </si>
  <si>
    <t>Quarantine</t>
  </si>
  <si>
    <t>$31.69M</t>
  </si>
  <si>
    <t>P2</t>
  </si>
  <si>
    <t>$3.99M</t>
  </si>
  <si>
    <t>Pathology</t>
  </si>
  <si>
    <t>Marc SchÃ¶lermann</t>
  </si>
  <si>
    <t>$0.11M</t>
  </si>
  <si>
    <t>The Prodigy</t>
  </si>
  <si>
    <t>Nicholas McCarthy</t>
  </si>
  <si>
    <t>$14.86M</t>
  </si>
  <si>
    <t>Old</t>
  </si>
  <si>
    <t>1,38,969</t>
  </si>
  <si>
    <t>$48.28M</t>
  </si>
  <si>
    <t>End of Days</t>
  </si>
  <si>
    <t>Peter Hyams</t>
  </si>
  <si>
    <t>1,13,770</t>
  </si>
  <si>
    <t>$66.89M</t>
  </si>
  <si>
    <t>Army of the Dead</t>
  </si>
  <si>
    <t>1,78,772</t>
  </si>
  <si>
    <t>$1.00M</t>
  </si>
  <si>
    <t>I Know What You Did Last Summer</t>
  </si>
  <si>
    <t>Jim Gillespie</t>
  </si>
  <si>
    <t>1,52,273</t>
  </si>
  <si>
    <t>$72.59M</t>
  </si>
  <si>
    <t>Species</t>
  </si>
  <si>
    <t>Roger Donaldson</t>
  </si>
  <si>
    <t>$60.07M</t>
  </si>
  <si>
    <t>Kimberly Peirce</t>
  </si>
  <si>
    <t>1,44,154</t>
  </si>
  <si>
    <t>$35.27M</t>
  </si>
  <si>
    <t>Splice</t>
  </si>
  <si>
    <t>$17.00M</t>
  </si>
  <si>
    <t>Final Destination 3</t>
  </si>
  <si>
    <t>1,47,716</t>
  </si>
  <si>
    <t>$54.10M</t>
  </si>
  <si>
    <t>High Life</t>
  </si>
  <si>
    <t>Claire Denis</t>
  </si>
  <si>
    <t>$1.23M</t>
  </si>
  <si>
    <t>Hollow Man</t>
  </si>
  <si>
    <t>Paul Verhoeven</t>
  </si>
  <si>
    <t>1,34,598</t>
  </si>
  <si>
    <t>$73.21M</t>
  </si>
  <si>
    <t>Jaws 2</t>
  </si>
  <si>
    <t>Jeannot Szwarc</t>
  </si>
  <si>
    <t>$102.92M</t>
  </si>
  <si>
    <t>Blade: Trinity</t>
  </si>
  <si>
    <t>David S. Goyer</t>
  </si>
  <si>
    <t>1,82,834</t>
  </si>
  <si>
    <t>$52.41M</t>
  </si>
  <si>
    <t>The Mortal Instruments: City of Bones</t>
  </si>
  <si>
    <t>Harald Zwart</t>
  </si>
  <si>
    <t>1,36,448</t>
  </si>
  <si>
    <t>$31.17M</t>
  </si>
  <si>
    <t>Pride and Prejudice and Zombies</t>
  </si>
  <si>
    <t>Burr Steers</t>
  </si>
  <si>
    <t>$10.91M</t>
  </si>
  <si>
    <t>Lake Placid</t>
  </si>
  <si>
    <t>$31.77M</t>
  </si>
  <si>
    <t>The Wolfman</t>
  </si>
  <si>
    <t>Joe Johnston</t>
  </si>
  <si>
    <t>1,08,821</t>
  </si>
  <si>
    <t>$61.98M</t>
  </si>
  <si>
    <t>The Texas Chainsaw Massacre: The Beginning</t>
  </si>
  <si>
    <t>Jonathan Liebesman</t>
  </si>
  <si>
    <t>$39.52M</t>
  </si>
  <si>
    <t>The Addams Family</t>
  </si>
  <si>
    <t>Animation, Comedy, Family</t>
  </si>
  <si>
    <t>Greg Tiernan</t>
  </si>
  <si>
    <t>$100.04M</t>
  </si>
  <si>
    <t>The Divide</t>
  </si>
  <si>
    <t>CiarÃ¡n Foy</t>
  </si>
  <si>
    <t>V/H/S</t>
  </si>
  <si>
    <t>Morgan</t>
  </si>
  <si>
    <t>Luke Scott</t>
  </si>
  <si>
    <t>$3.91M</t>
  </si>
  <si>
    <t>Thinner</t>
  </si>
  <si>
    <t>$15.17M</t>
  </si>
  <si>
    <t>The Haunting in Connecticut</t>
  </si>
  <si>
    <t>Peter Cornwell</t>
  </si>
  <si>
    <t>$55.39M</t>
  </si>
  <si>
    <t>Resident Evil: Afterlife</t>
  </si>
  <si>
    <t>1,75,349</t>
  </si>
  <si>
    <t>$60.13M</t>
  </si>
  <si>
    <t>Gothika</t>
  </si>
  <si>
    <t>Mathieu Kassovitz</t>
  </si>
  <si>
    <t>1,16,092</t>
  </si>
  <si>
    <t>$59.69M</t>
  </si>
  <si>
    <t>The Relic</t>
  </si>
  <si>
    <t>$33.96M</t>
  </si>
  <si>
    <t>Dracula: Dead and Loving It</t>
  </si>
  <si>
    <t>Mel Brooks</t>
  </si>
  <si>
    <t>$10.77M</t>
  </si>
  <si>
    <t>Open Water</t>
  </si>
  <si>
    <t>Chris Kentis</t>
  </si>
  <si>
    <t>$30.61M</t>
  </si>
  <si>
    <t>Halloween H20: 20 Years Later</t>
  </si>
  <si>
    <t>$55.04M</t>
  </si>
  <si>
    <t>Halloween 4: The Return of Michael Myers</t>
  </si>
  <si>
    <t>Dwight H. Little</t>
  </si>
  <si>
    <t>$17.77M</t>
  </si>
  <si>
    <t>Saw V</t>
  </si>
  <si>
    <t>David Hackl</t>
  </si>
  <si>
    <t>1,28,997</t>
  </si>
  <si>
    <t>$56.75M</t>
  </si>
  <si>
    <t>Black Sheep</t>
  </si>
  <si>
    <t>Jonathan King</t>
  </si>
  <si>
    <t>Paranormal Activity 3</t>
  </si>
  <si>
    <t>Henry Joost</t>
  </si>
  <si>
    <t>$104.01M</t>
  </si>
  <si>
    <t>Cry Wolf</t>
  </si>
  <si>
    <t>Jeff Wadlow</t>
  </si>
  <si>
    <t>$10.05M</t>
  </si>
  <si>
    <t>White Noise I</t>
  </si>
  <si>
    <t>The Purge I</t>
  </si>
  <si>
    <t>2,31,096</t>
  </si>
  <si>
    <t>$64.47M</t>
  </si>
  <si>
    <t>Escape Room: Tournament of Champions</t>
  </si>
  <si>
    <t>$25.19M</t>
  </si>
  <si>
    <t>Insidious: The Last Key</t>
  </si>
  <si>
    <t>$67.75M</t>
  </si>
  <si>
    <t>Buffy the Vampire Slayer</t>
  </si>
  <si>
    <t>Fran Rubel Kuzui</t>
  </si>
  <si>
    <t>$16.62M</t>
  </si>
  <si>
    <t>Underworld: Blood Wars</t>
  </si>
  <si>
    <t>Anna Foerster</t>
  </si>
  <si>
    <t>$30.35M</t>
  </si>
  <si>
    <t>Jigsaw I</t>
  </si>
  <si>
    <t>$38.05M</t>
  </si>
  <si>
    <t>Freddy vs. Jason</t>
  </si>
  <si>
    <t>Ronny Yu</t>
  </si>
  <si>
    <t>1,23,003</t>
  </si>
  <si>
    <t>$82.62M</t>
  </si>
  <si>
    <t>Cooties</t>
  </si>
  <si>
    <t>Jonathan Milott</t>
  </si>
  <si>
    <t>I Spit on Your Grave 2</t>
  </si>
  <si>
    <t>Kevin KÃ¶lsch</t>
  </si>
  <si>
    <t>$54.72M</t>
  </si>
  <si>
    <t>Priest</t>
  </si>
  <si>
    <t>1,21,940</t>
  </si>
  <si>
    <t>$29.14M</t>
  </si>
  <si>
    <t>Rubber</t>
  </si>
  <si>
    <t>Quentin Dupieux</t>
  </si>
  <si>
    <t>Lars Klevberg</t>
  </si>
  <si>
    <t>$29.21M</t>
  </si>
  <si>
    <t>Clown</t>
  </si>
  <si>
    <t>Jon Watts</t>
  </si>
  <si>
    <t>Paranormal Activity 2</t>
  </si>
  <si>
    <t>Tod Williams</t>
  </si>
  <si>
    <t>1,07,097</t>
  </si>
  <si>
    <t>$84.75M</t>
  </si>
  <si>
    <t>The Last Exorcism</t>
  </si>
  <si>
    <t>$41.03M</t>
  </si>
  <si>
    <t>Honeymoon</t>
  </si>
  <si>
    <t>The Bay II</t>
  </si>
  <si>
    <t>Barry Levinson</t>
  </si>
  <si>
    <t>The Meg</t>
  </si>
  <si>
    <t>Jon Turteltaub</t>
  </si>
  <si>
    <t>1,81,197</t>
  </si>
  <si>
    <t>$143.01M</t>
  </si>
  <si>
    <t>Beast I</t>
  </si>
  <si>
    <t>Baltasar KormÃ¡kur</t>
  </si>
  <si>
    <t>$31.85M</t>
  </si>
  <si>
    <t>Ghost Ship</t>
  </si>
  <si>
    <t>Steve Beck</t>
  </si>
  <si>
    <t>1,04,944</t>
  </si>
  <si>
    <t>$30.11M</t>
  </si>
  <si>
    <t>Scream 3</t>
  </si>
  <si>
    <t>1,55,289</t>
  </si>
  <si>
    <t>$89.14M</t>
  </si>
  <si>
    <t>Urban Legend</t>
  </si>
  <si>
    <t>Jamie Blanks</t>
  </si>
  <si>
    <t>$38.07M</t>
  </si>
  <si>
    <t>Thir13en Ghosts</t>
  </si>
  <si>
    <t>$41.87M</t>
  </si>
  <si>
    <t>Children of the Corn</t>
  </si>
  <si>
    <t>Fritz Kiersch</t>
  </si>
  <si>
    <t>$14.57M</t>
  </si>
  <si>
    <t>47 Meters Down</t>
  </si>
  <si>
    <t>Johannes Roberts</t>
  </si>
  <si>
    <t>$44.31M</t>
  </si>
  <si>
    <t>Pacific Rim: Uprising</t>
  </si>
  <si>
    <t>Steven S. DeKnight</t>
  </si>
  <si>
    <t>1,21,533</t>
  </si>
  <si>
    <t>$59.87M</t>
  </si>
  <si>
    <t>Alien vs. Predator</t>
  </si>
  <si>
    <t>2,05,934</t>
  </si>
  <si>
    <t>$80.28M</t>
  </si>
  <si>
    <t>Cabin Fever</t>
  </si>
  <si>
    <t>$21.16M</t>
  </si>
  <si>
    <t>Friday the 13th Part III</t>
  </si>
  <si>
    <t>$36.69M</t>
  </si>
  <si>
    <t>Jeepers Creepers 2</t>
  </si>
  <si>
    <t>$35.67M</t>
  </si>
  <si>
    <t>Ma I</t>
  </si>
  <si>
    <t>Tate Taylor</t>
  </si>
  <si>
    <t>$45.37M</t>
  </si>
  <si>
    <t>Maggie I</t>
  </si>
  <si>
    <t>Henry Hobson</t>
  </si>
  <si>
    <t>$0.19M</t>
  </si>
  <si>
    <t>Unfriended</t>
  </si>
  <si>
    <t>Levan Gabriadze</t>
  </si>
  <si>
    <t>$32.48M</t>
  </si>
  <si>
    <t>Bride of Chucky</t>
  </si>
  <si>
    <t>$32.40M</t>
  </si>
  <si>
    <t>The Texas Chainsaw Massacre 2</t>
  </si>
  <si>
    <t>$8.03M</t>
  </si>
  <si>
    <t>William Malone</t>
  </si>
  <si>
    <t>$40.85M</t>
  </si>
  <si>
    <t>Village of the Damned</t>
  </si>
  <si>
    <t>$9.42M</t>
  </si>
  <si>
    <t>Regression I</t>
  </si>
  <si>
    <t>Adventure, Crime, Drama</t>
  </si>
  <si>
    <t>A Nightmare on Elm Street 4: The Dream Master</t>
  </si>
  <si>
    <t>$49.37M</t>
  </si>
  <si>
    <t>Curse of Chucky</t>
  </si>
  <si>
    <t>Don Mancini</t>
  </si>
  <si>
    <t>$3.80M</t>
  </si>
  <si>
    <t>Poltergeist II: The Other Side</t>
  </si>
  <si>
    <t>Brian Gibson</t>
  </si>
  <si>
    <t>$41.00M</t>
  </si>
  <si>
    <t>Walter Salles</t>
  </si>
  <si>
    <t>$25.47M</t>
  </si>
  <si>
    <t>Hatchet</t>
  </si>
  <si>
    <t>Adam Green</t>
  </si>
  <si>
    <t>Club Dread</t>
  </si>
  <si>
    <t>Jay Chandrasekhar</t>
  </si>
  <si>
    <t>$4.99M</t>
  </si>
  <si>
    <t>The Reaping</t>
  </si>
  <si>
    <t>$25.12M</t>
  </si>
  <si>
    <t>Piranha 3D</t>
  </si>
  <si>
    <t>1,11,943</t>
  </si>
  <si>
    <t>$65.00M</t>
  </si>
  <si>
    <t>Hostel: Part II</t>
  </si>
  <si>
    <t>$17.61M</t>
  </si>
  <si>
    <t>Halloween Kills</t>
  </si>
  <si>
    <t>$92.00M</t>
  </si>
  <si>
    <t>House at the End of the Street</t>
  </si>
  <si>
    <t>Mark Tonderai</t>
  </si>
  <si>
    <t>$31.61M</t>
  </si>
  <si>
    <t>The Dead Don't Die</t>
  </si>
  <si>
    <t>$6.56M</t>
  </si>
  <si>
    <t>Eight Legged Freaks</t>
  </si>
  <si>
    <t>Ellory Elkayem</t>
  </si>
  <si>
    <t>$17.32M</t>
  </si>
  <si>
    <t>Resident Evil: The Final Chapter</t>
  </si>
  <si>
    <t>$26.83M</t>
  </si>
  <si>
    <t>Gretel &amp; Hansel</t>
  </si>
  <si>
    <t>Oz Perkins</t>
  </si>
  <si>
    <t>$15.35M</t>
  </si>
  <si>
    <t>Saw 3D</t>
  </si>
  <si>
    <t>1,02,181</t>
  </si>
  <si>
    <t>$45.71M</t>
  </si>
  <si>
    <t>Peninsula</t>
  </si>
  <si>
    <t>Dreamcatcher</t>
  </si>
  <si>
    <t>Lawrence Kasdan</t>
  </si>
  <si>
    <t>$33.72M</t>
  </si>
  <si>
    <t>The Last Days on Mars</t>
  </si>
  <si>
    <t>Ruairi Robinson</t>
  </si>
  <si>
    <t>John Moore</t>
  </si>
  <si>
    <t>$54.61M</t>
  </si>
  <si>
    <t>Hellraiser III: Hell on Earth</t>
  </si>
  <si>
    <t>Anthony Hickox</t>
  </si>
  <si>
    <t>$12.53M</t>
  </si>
  <si>
    <t>The Innkeepers</t>
  </si>
  <si>
    <t>Don't Be Afraid of the Dark</t>
  </si>
  <si>
    <t>Troy Nixey</t>
  </si>
  <si>
    <t>$24.04M</t>
  </si>
  <si>
    <t>Diary of the Dead</t>
  </si>
  <si>
    <t>Fantasy, Horror, Sci-Fi</t>
  </si>
  <si>
    <t>$0.96M</t>
  </si>
  <si>
    <t>Geoffrey Sax</t>
  </si>
  <si>
    <t>$56.39M</t>
  </si>
  <si>
    <t>Jennifer's Body</t>
  </si>
  <si>
    <t>1,41,859</t>
  </si>
  <si>
    <t>$16.20M</t>
  </si>
  <si>
    <t>Alex Kurtzman</t>
  </si>
  <si>
    <t>1,96,693</t>
  </si>
  <si>
    <t>$80.10M</t>
  </si>
  <si>
    <t>Teeth I</t>
  </si>
  <si>
    <t>Mitchell Lichtenstein</t>
  </si>
  <si>
    <t>$0.35M</t>
  </si>
  <si>
    <t>The Lawnmower Man</t>
  </si>
  <si>
    <t>Brett Leonard</t>
  </si>
  <si>
    <t>$32.10M</t>
  </si>
  <si>
    <t>The Forever Purge</t>
  </si>
  <si>
    <t>Everardo Gout</t>
  </si>
  <si>
    <t>$44.54M</t>
  </si>
  <si>
    <t>Annabelle I</t>
  </si>
  <si>
    <t>John R. Leonetti</t>
  </si>
  <si>
    <t>1,66,025</t>
  </si>
  <si>
    <t>$84.27M</t>
  </si>
  <si>
    <t>$0.20M</t>
  </si>
  <si>
    <t>House of Wax</t>
  </si>
  <si>
    <t>1,29,174</t>
  </si>
  <si>
    <t>$32.06M</t>
  </si>
  <si>
    <t>Maximum Overdrive</t>
  </si>
  <si>
    <t>Stephen King</t>
  </si>
  <si>
    <t>$7.43M</t>
  </si>
  <si>
    <t>A Nightmare on Elm Street 2: Freddy's Revenge</t>
  </si>
  <si>
    <t>Jack Sholder</t>
  </si>
  <si>
    <t>$30.00M</t>
  </si>
  <si>
    <t>Vampire Academy</t>
  </si>
  <si>
    <t>Action, Comedy, Drama</t>
  </si>
  <si>
    <t>Mark Waters</t>
  </si>
  <si>
    <t>$7.79M</t>
  </si>
  <si>
    <t>Turistas</t>
  </si>
  <si>
    <t>John Stockwell</t>
  </si>
  <si>
    <t>$7.03M</t>
  </si>
  <si>
    <t>The Ring Two</t>
  </si>
  <si>
    <t>$76.23M</t>
  </si>
  <si>
    <t>Red Riding Hood</t>
  </si>
  <si>
    <t>Catherine Hardwicke</t>
  </si>
  <si>
    <t>1,13,995</t>
  </si>
  <si>
    <t>$37.66M</t>
  </si>
  <si>
    <t>Winchester</t>
  </si>
  <si>
    <t>$25.09M</t>
  </si>
  <si>
    <t>My Bloody Valentine</t>
  </si>
  <si>
    <t>Patrick Lussier</t>
  </si>
  <si>
    <t>$51.55M</t>
  </si>
  <si>
    <t>$31.42M</t>
  </si>
  <si>
    <t>Tusk I</t>
  </si>
  <si>
    <t>$1.82M</t>
  </si>
  <si>
    <t>The Nun</t>
  </si>
  <si>
    <t>Corin Hardy</t>
  </si>
  <si>
    <t>1,48,299</t>
  </si>
  <si>
    <t>$117.45M</t>
  </si>
  <si>
    <t>The Green Inferno</t>
  </si>
  <si>
    <t>$7.19M</t>
  </si>
  <si>
    <t>The Predator</t>
  </si>
  <si>
    <t>Shane Black</t>
  </si>
  <si>
    <t>1,38,182</t>
  </si>
  <si>
    <t>$51.02M</t>
  </si>
  <si>
    <t>Scary Movie 2</t>
  </si>
  <si>
    <t>Keenen Ivory Wayans</t>
  </si>
  <si>
    <t>1,67,717</t>
  </si>
  <si>
    <t>$71.31M</t>
  </si>
  <si>
    <t>Legion</t>
  </si>
  <si>
    <t>1,08,043</t>
  </si>
  <si>
    <t>$40.17M</t>
  </si>
  <si>
    <t>The New Mutants</t>
  </si>
  <si>
    <t>Josh Boone</t>
  </si>
  <si>
    <t>$23.86M</t>
  </si>
  <si>
    <t>Sinister 2</t>
  </si>
  <si>
    <t>$27.74M</t>
  </si>
  <si>
    <t>Resident Evil: Retribution</t>
  </si>
  <si>
    <t>1,46,296</t>
  </si>
  <si>
    <t>$42.35M</t>
  </si>
  <si>
    <t>The Stepford Wives</t>
  </si>
  <si>
    <t>$59.48M</t>
  </si>
  <si>
    <t>The Messengers</t>
  </si>
  <si>
    <t>$35.37M</t>
  </si>
  <si>
    <t>Doom</t>
  </si>
  <si>
    <t>Andrzej Bartkowiak</t>
  </si>
  <si>
    <t>1,16,192</t>
  </si>
  <si>
    <t>$28.21M</t>
  </si>
  <si>
    <t>Morbius</t>
  </si>
  <si>
    <t>1,37,749</t>
  </si>
  <si>
    <t>$73.87M</t>
  </si>
  <si>
    <t>The Covenant</t>
  </si>
  <si>
    <t>$23.29M</t>
  </si>
  <si>
    <t>Resident Evil: Welcome to Raccoon City</t>
  </si>
  <si>
    <t>$21.90M</t>
  </si>
  <si>
    <t>Niels Arden Oplev</t>
  </si>
  <si>
    <t>$16.88M</t>
  </si>
  <si>
    <t>The Mummy: Tomb of the Dragon Emperor</t>
  </si>
  <si>
    <t>Rob Cohen</t>
  </si>
  <si>
    <t>1,66,078</t>
  </si>
  <si>
    <t>$102.49M</t>
  </si>
  <si>
    <t>The Bad Batch</t>
  </si>
  <si>
    <t>$0.18M</t>
  </si>
  <si>
    <t>Spawn</t>
  </si>
  <si>
    <t>Mark A.Z. DippÃ©</t>
  </si>
  <si>
    <t>$54.97M</t>
  </si>
  <si>
    <t>Truth or Dare I</t>
  </si>
  <si>
    <t>$41.41M</t>
  </si>
  <si>
    <t>The Curse of La Llorona</t>
  </si>
  <si>
    <t>$54.73M</t>
  </si>
  <si>
    <t>Queen of the Damned</t>
  </si>
  <si>
    <t>Michael Rymer</t>
  </si>
  <si>
    <t>$30.34M</t>
  </si>
  <si>
    <t>Scooby-Doo 2: Monsters Unleashed</t>
  </si>
  <si>
    <t>Raja Gosnell</t>
  </si>
  <si>
    <t>$84.22M</t>
  </si>
  <si>
    <t>Samuel Bayer</t>
  </si>
  <si>
    <t>1,03,828</t>
  </si>
  <si>
    <t>$63.08M</t>
  </si>
  <si>
    <t>The First Purge</t>
  </si>
  <si>
    <t>Gerard McMurray</t>
  </si>
  <si>
    <t>$69.49M</t>
  </si>
  <si>
    <t>The Strangers: Prey at Night</t>
  </si>
  <si>
    <t>$24.43M</t>
  </si>
  <si>
    <t>Friday the 13th Part VII: The New Blood</t>
  </si>
  <si>
    <t>John Carl Buechler</t>
  </si>
  <si>
    <t>$19.17M</t>
  </si>
  <si>
    <t>Shutter I</t>
  </si>
  <si>
    <t>Masayuki Ochiai</t>
  </si>
  <si>
    <t>$25.93M</t>
  </si>
  <si>
    <t>Apollo 18</t>
  </si>
  <si>
    <t>$17.69M</t>
  </si>
  <si>
    <t>The Lazarus Effect</t>
  </si>
  <si>
    <t>David Gelb</t>
  </si>
  <si>
    <t>$25.80M</t>
  </si>
  <si>
    <t>The Lords of Salem</t>
  </si>
  <si>
    <t>$1.16M</t>
  </si>
  <si>
    <t>Friend Request</t>
  </si>
  <si>
    <t>Simon Verhoeven</t>
  </si>
  <si>
    <t>$3.76M</t>
  </si>
  <si>
    <t>The Haunted Mansion</t>
  </si>
  <si>
    <t>Rob Minkoff</t>
  </si>
  <si>
    <t>$75.85M</t>
  </si>
  <si>
    <t>The Final Destination</t>
  </si>
  <si>
    <t>1,10,457</t>
  </si>
  <si>
    <t>$66.48M</t>
  </si>
  <si>
    <t>Sorority Row</t>
  </si>
  <si>
    <t>Stewart Hendler</t>
  </si>
  <si>
    <t>$11.96M</t>
  </si>
  <si>
    <t>The Hills Have Eyes 2</t>
  </si>
  <si>
    <t>Martin Weisz</t>
  </si>
  <si>
    <t>$20.80M</t>
  </si>
  <si>
    <t>When a Stranger Calls</t>
  </si>
  <si>
    <t>Simon West</t>
  </si>
  <si>
    <t>$47.86M</t>
  </si>
  <si>
    <t>The Cave</t>
  </si>
  <si>
    <t>Bruce Hunt</t>
  </si>
  <si>
    <t>$15.01M</t>
  </si>
  <si>
    <t>Halloween III: Season of the Witch</t>
  </si>
  <si>
    <t>Tommy Lee Wallace</t>
  </si>
  <si>
    <t>$14.40M</t>
  </si>
  <si>
    <t>Exorcist: The Beginning</t>
  </si>
  <si>
    <t>$41.82M</t>
  </si>
  <si>
    <t>Child's Play 3</t>
  </si>
  <si>
    <t>Jack Bender</t>
  </si>
  <si>
    <t>$14.96M</t>
  </si>
  <si>
    <t>An American Werewolf in Paris</t>
  </si>
  <si>
    <t>Anthony Waller</t>
  </si>
  <si>
    <t>$26.57M</t>
  </si>
  <si>
    <t>47 Meters Down: Uncaged</t>
  </si>
  <si>
    <t>$22.26M</t>
  </si>
  <si>
    <t>Jan de Bont</t>
  </si>
  <si>
    <t>$91.41M</t>
  </si>
  <si>
    <t>A Haunted House</t>
  </si>
  <si>
    <t>Michael Tiddes</t>
  </si>
  <si>
    <t>$40.04M</t>
  </si>
  <si>
    <t>Blair Witch</t>
  </si>
  <si>
    <t>$20.78M</t>
  </si>
  <si>
    <t>Virus</t>
  </si>
  <si>
    <t>John Bruno</t>
  </si>
  <si>
    <t>$14.01M</t>
  </si>
  <si>
    <t>Stay Alive</t>
  </si>
  <si>
    <t>$23.09M</t>
  </si>
  <si>
    <t>A Nightmare on Elm Street: The Dream Child</t>
  </si>
  <si>
    <t>$22.17M</t>
  </si>
  <si>
    <t>See No Evil</t>
  </si>
  <si>
    <t>Gregory Dark</t>
  </si>
  <si>
    <t>$15.03M</t>
  </si>
  <si>
    <t>Chernobyl Diaries</t>
  </si>
  <si>
    <t>Bradley Parker</t>
  </si>
  <si>
    <t>$18.12M</t>
  </si>
  <si>
    <t>Cursed</t>
  </si>
  <si>
    <t>$19.30M</t>
  </si>
  <si>
    <t>Paranormal Activity: The Marked Ones</t>
  </si>
  <si>
    <t>$32.46M</t>
  </si>
  <si>
    <t>The Grudge 2</t>
  </si>
  <si>
    <t>$39.14M</t>
  </si>
  <si>
    <t>[REC] 3: Genesis</t>
  </si>
  <si>
    <t>An American Haunting</t>
  </si>
  <si>
    <t>Courtney Solomon</t>
  </si>
  <si>
    <t>$16.30M</t>
  </si>
  <si>
    <t>Knock Knock I</t>
  </si>
  <si>
    <t>The Darkest Hour</t>
  </si>
  <si>
    <t>Chris Gorak</t>
  </si>
  <si>
    <t>$21.43M</t>
  </si>
  <si>
    <t>Fantasy Island</t>
  </si>
  <si>
    <t>$27.31M</t>
  </si>
  <si>
    <t>Dracula 2000</t>
  </si>
  <si>
    <t>$33.02M</t>
  </si>
  <si>
    <t>Silent Hill: Revelation</t>
  </si>
  <si>
    <t>$17.53M</t>
  </si>
  <si>
    <t>Seed of Chucky</t>
  </si>
  <si>
    <t>$17.08M</t>
  </si>
  <si>
    <t>Ghosts of Mars</t>
  </si>
  <si>
    <t>$8.43M</t>
  </si>
  <si>
    <t>Gil Kenan</t>
  </si>
  <si>
    <t>$47.43M</t>
  </si>
  <si>
    <t>Darkness Falls</t>
  </si>
  <si>
    <t>$32.55M</t>
  </si>
  <si>
    <t>Valentine</t>
  </si>
  <si>
    <t>$20.38M</t>
  </si>
  <si>
    <t>Halloween 5: The Revenge of Michael Myers</t>
  </si>
  <si>
    <t>Dominique Othenin-Girard</t>
  </si>
  <si>
    <t>$11.64M</t>
  </si>
  <si>
    <t>Vanishing on 7th Street</t>
  </si>
  <si>
    <t>Anaconda</t>
  </si>
  <si>
    <t>Luis Llosa</t>
  </si>
  <si>
    <t>1,08,000</t>
  </si>
  <si>
    <t>$65.89M</t>
  </si>
  <si>
    <t>Texas Chainsaw</t>
  </si>
  <si>
    <t>John Luessenhop</t>
  </si>
  <si>
    <t>$34.34M</t>
  </si>
  <si>
    <t>The Forest I</t>
  </si>
  <si>
    <t>Jason Zada</t>
  </si>
  <si>
    <t>$26.58M</t>
  </si>
  <si>
    <t>Leprechaun</t>
  </si>
  <si>
    <t>Mark Jones</t>
  </si>
  <si>
    <t>$8.56M</t>
  </si>
  <si>
    <t>The Roommate I</t>
  </si>
  <si>
    <t>Christian E. Christiansen</t>
  </si>
  <si>
    <t>$37.30M</t>
  </si>
  <si>
    <t>$33.39M</t>
  </si>
  <si>
    <t>Meet the Blacks</t>
  </si>
  <si>
    <t>Deon Taylor</t>
  </si>
  <si>
    <t>$9.09M</t>
  </si>
  <si>
    <t>The Woman in Black 2: Angel of Death</t>
  </si>
  <si>
    <t>Tom Harper</t>
  </si>
  <si>
    <t>$26.50M</t>
  </si>
  <si>
    <t>Godsend</t>
  </si>
  <si>
    <t>Frank M. Calo</t>
  </si>
  <si>
    <t>$14.38M</t>
  </si>
  <si>
    <t>The Unborn</t>
  </si>
  <si>
    <t>$42.67M</t>
  </si>
  <si>
    <t>Friday the 13th: A New Beginning</t>
  </si>
  <si>
    <t>Danny Steinmann</t>
  </si>
  <si>
    <t>$21.93M</t>
  </si>
  <si>
    <t>I Still Know What You Did Last Summer</t>
  </si>
  <si>
    <t>Danny Cannon</t>
  </si>
  <si>
    <t>$40.00M</t>
  </si>
  <si>
    <t>Anacondas: The Hunt for the Blood Orchid</t>
  </si>
  <si>
    <t>$32.24M</t>
  </si>
  <si>
    <t>Halloween: The Curse of Michael Myers</t>
  </si>
  <si>
    <t>Joe Chappelle</t>
  </si>
  <si>
    <t>$15.12M</t>
  </si>
  <si>
    <t>Freddy's Dead: The Final Nightmare</t>
  </si>
  <si>
    <t>Rachel Talalay</t>
  </si>
  <si>
    <t>$34.87M</t>
  </si>
  <si>
    <t>Pulse I</t>
  </si>
  <si>
    <t>Jim Sonzero</t>
  </si>
  <si>
    <t>$20.26M</t>
  </si>
  <si>
    <t>Aliens vs. Predator: Requiem</t>
  </si>
  <si>
    <t>Colin Strause</t>
  </si>
  <si>
    <t>1,29,458</t>
  </si>
  <si>
    <t>$41.80M</t>
  </si>
  <si>
    <t>Gus Van Sant</t>
  </si>
  <si>
    <t>$21.46M</t>
  </si>
  <si>
    <t>Paranormal Activity 4</t>
  </si>
  <si>
    <t>$53.92M</t>
  </si>
  <si>
    <t>The Pyramid</t>
  </si>
  <si>
    <t>GrÃ©gory Levasseur</t>
  </si>
  <si>
    <t>$2.76M</t>
  </si>
  <si>
    <t>Glen Morgan</t>
  </si>
  <si>
    <t>$16.24M</t>
  </si>
  <si>
    <t>Paranormal Activity: The Ghost Dimension</t>
  </si>
  <si>
    <t>Gregory Plotkin</t>
  </si>
  <si>
    <t>The Island of Dr. Moreau</t>
  </si>
  <si>
    <t>John Frankenheimer</t>
  </si>
  <si>
    <t>$27.66M</t>
  </si>
  <si>
    <t>Ouija II</t>
  </si>
  <si>
    <t>Stiles White</t>
  </si>
  <si>
    <t>$50.86M</t>
  </si>
  <si>
    <t>Rings</t>
  </si>
  <si>
    <t>F. Javier GutiÃ©rrez</t>
  </si>
  <si>
    <t>$27.79M</t>
  </si>
  <si>
    <t>Species II</t>
  </si>
  <si>
    <t>Friday the 13th Part VIII: Jason Takes Manhattan</t>
  </si>
  <si>
    <t>Rob Hedden</t>
  </si>
  <si>
    <t>$14.34M</t>
  </si>
  <si>
    <t>The Human Centipede (First Sequence)</t>
  </si>
  <si>
    <t>Tom Six</t>
  </si>
  <si>
    <t>Jason X</t>
  </si>
  <si>
    <t>James Isaac</t>
  </si>
  <si>
    <t>$13.12M</t>
  </si>
  <si>
    <t>The Bye Bye Man</t>
  </si>
  <si>
    <t>Stacy Title</t>
  </si>
  <si>
    <t>$22.38M</t>
  </si>
  <si>
    <t>Boogeyman</t>
  </si>
  <si>
    <t>Stephen Kay</t>
  </si>
  <si>
    <t>$46.75M</t>
  </si>
  <si>
    <t>The Devil Inside</t>
  </si>
  <si>
    <t>$53.26M</t>
  </si>
  <si>
    <t>Jason Goes to Hell: The Final Friday</t>
  </si>
  <si>
    <t>Adam Marcus</t>
  </si>
  <si>
    <t>$15.94M</t>
  </si>
  <si>
    <t>Shark Night</t>
  </si>
  <si>
    <t>$18.87M</t>
  </si>
  <si>
    <t>One Missed Call</t>
  </si>
  <si>
    <t>Eric Valette</t>
  </si>
  <si>
    <t>$26.88M</t>
  </si>
  <si>
    <t>Book of Shadows: Blair Witch 2</t>
  </si>
  <si>
    <t>Joe Berlinger</t>
  </si>
  <si>
    <t>$26.44M</t>
  </si>
  <si>
    <t>Prom Night I</t>
  </si>
  <si>
    <t>Nelson McCormick</t>
  </si>
  <si>
    <t>$43.87M</t>
  </si>
  <si>
    <t>Halloween: Resurrection</t>
  </si>
  <si>
    <t>Piranha 3DD</t>
  </si>
  <si>
    <t>The Human Centipede 2 (Full Sequence)</t>
  </si>
  <si>
    <t>$0.12M</t>
  </si>
  <si>
    <t>Neil LaBute</t>
  </si>
  <si>
    <t>$23.64M</t>
  </si>
  <si>
    <t>Exorcist II: The Heretic</t>
  </si>
  <si>
    <t>John Boorman</t>
  </si>
  <si>
    <t>$30.75M</t>
  </si>
  <si>
    <t>Jaws 3-D</t>
  </si>
  <si>
    <t>Joe Alves</t>
  </si>
  <si>
    <t>$45.52M</t>
  </si>
  <si>
    <t>$29.51M</t>
  </si>
  <si>
    <t>I Know Who Killed Me</t>
  </si>
  <si>
    <t>Chris Sivertson</t>
  </si>
  <si>
    <t>$7.50M</t>
  </si>
  <si>
    <t>Scary Movie V</t>
  </si>
  <si>
    <t>Malcolm D. Lee</t>
  </si>
  <si>
    <t>$32.02M</t>
  </si>
  <si>
    <t>Vampires Suck</t>
  </si>
  <si>
    <t>Jason Friedberg</t>
  </si>
  <si>
    <t>$36.66M</t>
  </si>
  <si>
    <t>Slender Man I</t>
  </si>
  <si>
    <t>Sylvain White</t>
  </si>
  <si>
    <t>Jaws: The Revenge</t>
  </si>
  <si>
    <t>Joseph Sargent</t>
  </si>
  <si>
    <t>$20.76M</t>
  </si>
  <si>
    <t>BloodRayne</t>
  </si>
  <si>
    <t>Uwe Boll</t>
  </si>
  <si>
    <t>$2.41M</t>
  </si>
  <si>
    <t>Alone in the Dark</t>
  </si>
  <si>
    <t>$5.18M</t>
  </si>
  <si>
    <t>House of the Dead</t>
  </si>
  <si>
    <t>$10.25M</t>
  </si>
  <si>
    <t>Gross Revenue</t>
  </si>
  <si>
    <t>Runtime (Hr)</t>
  </si>
  <si>
    <t>Runtime (minutes)</t>
  </si>
  <si>
    <t>Return Per Hour</t>
  </si>
  <si>
    <t>Return Per Minute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</si>
</sst>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$&quot;#,##0"/>
    <numFmt numFmtId="166" formatCode="&quot;$&quot;#,##0.00"/>
    <numFmt numFmtId="169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16" fillId="0" borderId="0" xfId="0" applyFon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6" fillId="0" borderId="0" xfId="0" applyFont="1" applyAlignment="1">
      <alignment horizontal="left"/>
    </xf>
    <xf numFmtId="164" fontId="16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/>
    </xf>
    <xf numFmtId="1" fontId="16" fillId="0" borderId="0" xfId="0" applyNumberFormat="1" applyFont="1"/>
    <xf numFmtId="1" fontId="0" fillId="0" borderId="0" xfId="0" applyNumberFormat="1"/>
    <xf numFmtId="166" fontId="0" fillId="0" borderId="0" xfId="0" applyNumberFormat="1"/>
    <xf numFmtId="169" fontId="16" fillId="0" borderId="0" xfId="42" applyNumberFormat="1" applyFont="1" applyAlignment="1">
      <alignment horizontal="left"/>
    </xf>
    <xf numFmtId="169" fontId="0" fillId="0" borderId="0" xfId="42" applyNumberFormat="1" applyFont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638"/>
  <sheetViews>
    <sheetView workbookViewId="0">
      <selection activeCell="E10" sqref="E10"/>
    </sheetView>
  </sheetViews>
  <sheetFormatPr defaultColWidth="21" defaultRowHeight="15" x14ac:dyDescent="0.25"/>
  <cols>
    <col min="6" max="6" width="24.5703125" customWidth="1"/>
    <col min="7" max="7" width="21" style="2"/>
    <col min="8" max="8" width="21" style="6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6</v>
      </c>
      <c r="H1" s="5" t="s">
        <v>1928</v>
      </c>
    </row>
    <row r="2" spans="1:8" x14ac:dyDescent="0.25">
      <c r="A2" t="s">
        <v>8</v>
      </c>
      <c r="B2">
        <v>1979</v>
      </c>
      <c r="C2">
        <v>117</v>
      </c>
      <c r="D2" t="s">
        <v>9</v>
      </c>
      <c r="E2">
        <v>8.5</v>
      </c>
      <c r="F2" t="s">
        <v>10</v>
      </c>
      <c r="G2" s="2" t="s">
        <v>11</v>
      </c>
      <c r="H2" s="6" t="s">
        <v>12</v>
      </c>
    </row>
    <row r="3" spans="1:8" x14ac:dyDescent="0.25">
      <c r="A3" t="s">
        <v>13</v>
      </c>
      <c r="B3">
        <v>1960</v>
      </c>
      <c r="C3">
        <v>109</v>
      </c>
      <c r="D3" t="s">
        <v>14</v>
      </c>
      <c r="E3">
        <v>8.5</v>
      </c>
      <c r="F3" t="s">
        <v>15</v>
      </c>
      <c r="G3" s="2" t="s">
        <v>16</v>
      </c>
      <c r="H3" s="6" t="s">
        <v>17</v>
      </c>
    </row>
    <row r="4" spans="1:8" x14ac:dyDescent="0.25">
      <c r="A4" t="s">
        <v>18</v>
      </c>
      <c r="B4">
        <v>1980</v>
      </c>
      <c r="C4">
        <v>146</v>
      </c>
      <c r="D4" t="s">
        <v>19</v>
      </c>
      <c r="E4">
        <v>8.4</v>
      </c>
      <c r="F4" t="s">
        <v>20</v>
      </c>
      <c r="G4" s="2" t="s">
        <v>21</v>
      </c>
      <c r="H4" s="6" t="s">
        <v>22</v>
      </c>
    </row>
    <row r="5" spans="1:8" x14ac:dyDescent="0.25">
      <c r="A5" t="s">
        <v>23</v>
      </c>
      <c r="B5">
        <v>1982</v>
      </c>
      <c r="C5">
        <v>109</v>
      </c>
      <c r="D5" t="s">
        <v>24</v>
      </c>
      <c r="E5">
        <v>8.1999999999999993</v>
      </c>
      <c r="F5" t="s">
        <v>25</v>
      </c>
      <c r="G5" s="2" t="s">
        <v>26</v>
      </c>
      <c r="H5" s="6" t="s">
        <v>27</v>
      </c>
    </row>
    <row r="6" spans="1:8" x14ac:dyDescent="0.25">
      <c r="A6" t="s">
        <v>29</v>
      </c>
      <c r="B6">
        <v>1973</v>
      </c>
      <c r="C6">
        <v>122</v>
      </c>
      <c r="D6" t="s">
        <v>30</v>
      </c>
      <c r="E6">
        <v>8.1</v>
      </c>
      <c r="F6" t="s">
        <v>31</v>
      </c>
      <c r="G6" s="2" t="s">
        <v>32</v>
      </c>
      <c r="H6" s="6" t="s">
        <v>33</v>
      </c>
    </row>
    <row r="7" spans="1:8" x14ac:dyDescent="0.25">
      <c r="A7" t="s">
        <v>34</v>
      </c>
      <c r="B7">
        <v>1955</v>
      </c>
      <c r="C7">
        <v>117</v>
      </c>
      <c r="D7" t="s">
        <v>35</v>
      </c>
      <c r="E7">
        <v>8.1</v>
      </c>
      <c r="F7" t="s">
        <v>36</v>
      </c>
      <c r="G7" s="3">
        <v>67456</v>
      </c>
      <c r="H7" s="6" t="s">
        <v>37</v>
      </c>
    </row>
    <row r="8" spans="1:8" x14ac:dyDescent="0.25">
      <c r="A8" t="s">
        <v>38</v>
      </c>
      <c r="B8">
        <v>1962</v>
      </c>
      <c r="C8">
        <v>134</v>
      </c>
      <c r="D8" t="s">
        <v>39</v>
      </c>
      <c r="E8">
        <v>8</v>
      </c>
      <c r="F8" t="s">
        <v>40</v>
      </c>
      <c r="G8" s="3">
        <v>58904</v>
      </c>
      <c r="H8" s="6" t="s">
        <v>41</v>
      </c>
    </row>
    <row r="9" spans="1:8" x14ac:dyDescent="0.25">
      <c r="A9" t="s">
        <v>43</v>
      </c>
      <c r="B9">
        <v>2004</v>
      </c>
      <c r="C9">
        <v>99</v>
      </c>
      <c r="D9" t="s">
        <v>44</v>
      </c>
      <c r="E9">
        <v>7.9</v>
      </c>
      <c r="F9" t="s">
        <v>45</v>
      </c>
      <c r="G9" s="2" t="s">
        <v>46</v>
      </c>
      <c r="H9" s="6" t="s">
        <v>47</v>
      </c>
    </row>
    <row r="10" spans="1:8" x14ac:dyDescent="0.25">
      <c r="A10" t="s">
        <v>49</v>
      </c>
      <c r="B10">
        <v>2008</v>
      </c>
      <c r="C10">
        <v>114</v>
      </c>
      <c r="D10" t="s">
        <v>28</v>
      </c>
      <c r="E10">
        <v>7.9</v>
      </c>
      <c r="F10" t="s">
        <v>50</v>
      </c>
      <c r="G10" s="2" t="s">
        <v>51</v>
      </c>
      <c r="H10" s="6" t="s">
        <v>52</v>
      </c>
    </row>
    <row r="11" spans="1:8" x14ac:dyDescent="0.25">
      <c r="A11" t="s">
        <v>53</v>
      </c>
      <c r="B11">
        <v>1933</v>
      </c>
      <c r="C11">
        <v>100</v>
      </c>
      <c r="D11" t="s">
        <v>54</v>
      </c>
      <c r="E11">
        <v>7.9</v>
      </c>
      <c r="F11" t="s">
        <v>55</v>
      </c>
      <c r="G11" s="3">
        <v>88019</v>
      </c>
      <c r="H11" s="6" t="s">
        <v>56</v>
      </c>
    </row>
    <row r="12" spans="1:8" x14ac:dyDescent="0.25">
      <c r="A12" t="s">
        <v>57</v>
      </c>
      <c r="B12">
        <v>2017</v>
      </c>
      <c r="C12">
        <v>104</v>
      </c>
      <c r="D12" t="s">
        <v>14</v>
      </c>
      <c r="E12">
        <v>7.8</v>
      </c>
      <c r="F12" t="s">
        <v>58</v>
      </c>
      <c r="G12" s="2" t="s">
        <v>59</v>
      </c>
      <c r="H12" s="6" t="s">
        <v>60</v>
      </c>
    </row>
    <row r="13" spans="1:8" x14ac:dyDescent="0.25">
      <c r="A13" t="s">
        <v>61</v>
      </c>
      <c r="B13">
        <v>1987</v>
      </c>
      <c r="C13">
        <v>107</v>
      </c>
      <c r="D13" t="s">
        <v>62</v>
      </c>
      <c r="E13">
        <v>7.8</v>
      </c>
      <c r="F13" t="s">
        <v>63</v>
      </c>
      <c r="G13" s="2" t="s">
        <v>64</v>
      </c>
      <c r="H13" s="6" t="s">
        <v>65</v>
      </c>
    </row>
    <row r="14" spans="1:8" x14ac:dyDescent="0.25">
      <c r="A14" t="s">
        <v>66</v>
      </c>
      <c r="B14">
        <v>2010</v>
      </c>
      <c r="C14">
        <v>144</v>
      </c>
      <c r="D14" t="s">
        <v>67</v>
      </c>
      <c r="E14">
        <v>7.8</v>
      </c>
      <c r="F14" t="s">
        <v>68</v>
      </c>
      <c r="G14" s="2" t="s">
        <v>69</v>
      </c>
      <c r="H14" s="6" t="s">
        <v>70</v>
      </c>
    </row>
    <row r="15" spans="1:8" x14ac:dyDescent="0.25">
      <c r="A15" t="s">
        <v>71</v>
      </c>
      <c r="B15">
        <v>1978</v>
      </c>
      <c r="C15">
        <v>127</v>
      </c>
      <c r="D15" t="s">
        <v>72</v>
      </c>
      <c r="E15">
        <v>7.8</v>
      </c>
      <c r="F15" t="s">
        <v>73</v>
      </c>
      <c r="G15" s="2" t="s">
        <v>74</v>
      </c>
      <c r="H15" s="6" t="s">
        <v>75</v>
      </c>
    </row>
    <row r="16" spans="1:8" x14ac:dyDescent="0.25">
      <c r="A16" t="s">
        <v>76</v>
      </c>
      <c r="B16">
        <v>1968</v>
      </c>
      <c r="C16">
        <v>96</v>
      </c>
      <c r="D16" t="s">
        <v>72</v>
      </c>
      <c r="E16">
        <v>7.8</v>
      </c>
      <c r="F16" t="s">
        <v>73</v>
      </c>
      <c r="G16" s="2" t="s">
        <v>77</v>
      </c>
      <c r="H16" s="6" t="s">
        <v>78</v>
      </c>
    </row>
    <row r="17" spans="1:8" x14ac:dyDescent="0.25">
      <c r="A17" t="s">
        <v>79</v>
      </c>
      <c r="B17">
        <v>1932</v>
      </c>
      <c r="C17">
        <v>64</v>
      </c>
      <c r="D17" t="s">
        <v>19</v>
      </c>
      <c r="E17">
        <v>7.8</v>
      </c>
      <c r="F17" t="s">
        <v>80</v>
      </c>
      <c r="G17" s="3">
        <v>48381</v>
      </c>
      <c r="H17" s="6" t="s">
        <v>81</v>
      </c>
    </row>
    <row r="18" spans="1:8" x14ac:dyDescent="0.25">
      <c r="A18" t="s">
        <v>85</v>
      </c>
      <c r="B18">
        <v>1961</v>
      </c>
      <c r="C18">
        <v>100</v>
      </c>
      <c r="D18" t="s">
        <v>30</v>
      </c>
      <c r="E18">
        <v>7.8</v>
      </c>
      <c r="F18" t="s">
        <v>86</v>
      </c>
      <c r="G18" s="3">
        <v>31689</v>
      </c>
      <c r="H18" s="6" t="s">
        <v>87</v>
      </c>
    </row>
    <row r="19" spans="1:8" x14ac:dyDescent="0.25">
      <c r="A19" t="s">
        <v>88</v>
      </c>
      <c r="B19">
        <v>1935</v>
      </c>
      <c r="C19">
        <v>75</v>
      </c>
      <c r="D19" t="s">
        <v>83</v>
      </c>
      <c r="E19">
        <v>7.8</v>
      </c>
      <c r="F19" t="s">
        <v>84</v>
      </c>
      <c r="G19" s="3">
        <v>50611</v>
      </c>
      <c r="H19" s="6" t="s">
        <v>89</v>
      </c>
    </row>
    <row r="20" spans="1:8" x14ac:dyDescent="0.25">
      <c r="A20" t="s">
        <v>90</v>
      </c>
      <c r="B20">
        <v>1987</v>
      </c>
      <c r="C20">
        <v>84</v>
      </c>
      <c r="D20" t="s">
        <v>44</v>
      </c>
      <c r="E20">
        <v>7.7</v>
      </c>
      <c r="F20" t="s">
        <v>91</v>
      </c>
      <c r="G20" s="2" t="s">
        <v>92</v>
      </c>
      <c r="H20" s="6" t="s">
        <v>93</v>
      </c>
    </row>
    <row r="21" spans="1:8" x14ac:dyDescent="0.25">
      <c r="A21" t="s">
        <v>94</v>
      </c>
      <c r="B21">
        <v>1978</v>
      </c>
      <c r="C21">
        <v>91</v>
      </c>
      <c r="D21" t="s">
        <v>72</v>
      </c>
      <c r="E21">
        <v>7.7</v>
      </c>
      <c r="F21" t="s">
        <v>25</v>
      </c>
      <c r="G21" s="2" t="s">
        <v>95</v>
      </c>
      <c r="H21" s="6" t="s">
        <v>96</v>
      </c>
    </row>
    <row r="22" spans="1:8" x14ac:dyDescent="0.25">
      <c r="A22" t="s">
        <v>98</v>
      </c>
      <c r="B22">
        <v>2000</v>
      </c>
      <c r="C22">
        <v>102</v>
      </c>
      <c r="D22" t="s">
        <v>35</v>
      </c>
      <c r="E22">
        <v>7.6</v>
      </c>
      <c r="F22" t="s">
        <v>99</v>
      </c>
      <c r="G22" s="2" t="s">
        <v>100</v>
      </c>
      <c r="H22" s="6" t="s">
        <v>101</v>
      </c>
    </row>
    <row r="23" spans="1:8" x14ac:dyDescent="0.25">
      <c r="A23" t="s">
        <v>102</v>
      </c>
      <c r="B23">
        <v>2004</v>
      </c>
      <c r="C23">
        <v>103</v>
      </c>
      <c r="D23" t="s">
        <v>14</v>
      </c>
      <c r="E23">
        <v>7.6</v>
      </c>
      <c r="F23" t="s">
        <v>103</v>
      </c>
      <c r="G23" s="2" t="s">
        <v>104</v>
      </c>
      <c r="H23" s="6" t="s">
        <v>105</v>
      </c>
    </row>
    <row r="24" spans="1:8" x14ac:dyDescent="0.25">
      <c r="A24" t="s">
        <v>106</v>
      </c>
      <c r="B24">
        <v>2016</v>
      </c>
      <c r="C24">
        <v>118</v>
      </c>
      <c r="D24" t="s">
        <v>107</v>
      </c>
      <c r="E24">
        <v>7.6</v>
      </c>
      <c r="F24" t="s">
        <v>108</v>
      </c>
      <c r="G24" s="2" t="s">
        <v>109</v>
      </c>
      <c r="H24" s="6" t="s">
        <v>110</v>
      </c>
    </row>
    <row r="25" spans="1:8" x14ac:dyDescent="0.25">
      <c r="A25" t="s">
        <v>111</v>
      </c>
      <c r="B25">
        <v>1986</v>
      </c>
      <c r="C25">
        <v>96</v>
      </c>
      <c r="D25" t="s">
        <v>83</v>
      </c>
      <c r="E25">
        <v>7.6</v>
      </c>
      <c r="F25" t="s">
        <v>112</v>
      </c>
      <c r="G25" s="2" t="s">
        <v>113</v>
      </c>
      <c r="H25" s="6" t="s">
        <v>114</v>
      </c>
    </row>
    <row r="26" spans="1:8" x14ac:dyDescent="0.25">
      <c r="A26" t="s">
        <v>115</v>
      </c>
      <c r="B26">
        <v>2009</v>
      </c>
      <c r="C26">
        <v>88</v>
      </c>
      <c r="D26" t="s">
        <v>116</v>
      </c>
      <c r="E26">
        <v>7.6</v>
      </c>
      <c r="F26" t="s">
        <v>117</v>
      </c>
      <c r="G26" s="2" t="s">
        <v>118</v>
      </c>
      <c r="H26" s="6" t="s">
        <v>119</v>
      </c>
    </row>
    <row r="27" spans="1:8" x14ac:dyDescent="0.25">
      <c r="A27" t="s">
        <v>120</v>
      </c>
      <c r="B27">
        <v>1963</v>
      </c>
      <c r="C27">
        <v>119</v>
      </c>
      <c r="D27" t="s">
        <v>42</v>
      </c>
      <c r="E27">
        <v>7.6</v>
      </c>
      <c r="F27" t="s">
        <v>15</v>
      </c>
      <c r="G27" s="2" t="s">
        <v>121</v>
      </c>
      <c r="H27" s="6" t="s">
        <v>122</v>
      </c>
    </row>
    <row r="28" spans="1:8" x14ac:dyDescent="0.25">
      <c r="A28" t="s">
        <v>123</v>
      </c>
      <c r="B28">
        <v>2011</v>
      </c>
      <c r="C28">
        <v>120</v>
      </c>
      <c r="D28" t="s">
        <v>42</v>
      </c>
      <c r="E28">
        <v>7.6</v>
      </c>
      <c r="F28" t="s">
        <v>124</v>
      </c>
      <c r="G28" s="2" t="s">
        <v>125</v>
      </c>
      <c r="H28" s="6" t="s">
        <v>126</v>
      </c>
    </row>
    <row r="29" spans="1:8" x14ac:dyDescent="0.25">
      <c r="A29" t="s">
        <v>127</v>
      </c>
      <c r="B29">
        <v>2001</v>
      </c>
      <c r="C29">
        <v>104</v>
      </c>
      <c r="D29" t="s">
        <v>14</v>
      </c>
      <c r="E29">
        <v>7.6</v>
      </c>
      <c r="F29" t="s">
        <v>128</v>
      </c>
      <c r="G29" s="2" t="s">
        <v>129</v>
      </c>
      <c r="H29" s="6" t="s">
        <v>130</v>
      </c>
    </row>
    <row r="30" spans="1:8" x14ac:dyDescent="0.25">
      <c r="A30" t="s">
        <v>131</v>
      </c>
      <c r="B30">
        <v>2014</v>
      </c>
      <c r="C30">
        <v>86</v>
      </c>
      <c r="D30" t="s">
        <v>44</v>
      </c>
      <c r="E30">
        <v>7.6</v>
      </c>
      <c r="F30" t="s">
        <v>132</v>
      </c>
      <c r="G30" s="2" t="s">
        <v>133</v>
      </c>
      <c r="H30" s="6" t="s">
        <v>134</v>
      </c>
    </row>
    <row r="31" spans="1:8" x14ac:dyDescent="0.25">
      <c r="A31" t="s">
        <v>135</v>
      </c>
      <c r="B31">
        <v>1960</v>
      </c>
      <c r="C31">
        <v>90</v>
      </c>
      <c r="D31" t="s">
        <v>19</v>
      </c>
      <c r="E31">
        <v>7.6</v>
      </c>
      <c r="F31" t="s">
        <v>136</v>
      </c>
      <c r="G31" s="3">
        <v>33321</v>
      </c>
      <c r="H31" s="6" t="s">
        <v>137</v>
      </c>
    </row>
    <row r="32" spans="1:8" x14ac:dyDescent="0.25">
      <c r="A32" t="s">
        <v>138</v>
      </c>
      <c r="B32">
        <v>2000</v>
      </c>
      <c r="C32">
        <v>103</v>
      </c>
      <c r="D32" t="s">
        <v>139</v>
      </c>
      <c r="E32">
        <v>7.6</v>
      </c>
      <c r="F32" t="s">
        <v>140</v>
      </c>
      <c r="G32" s="3">
        <v>33553</v>
      </c>
      <c r="H32" s="6" t="s">
        <v>141</v>
      </c>
    </row>
    <row r="33" spans="1:8" x14ac:dyDescent="0.25">
      <c r="A33" t="s">
        <v>143</v>
      </c>
      <c r="B33">
        <v>1960</v>
      </c>
      <c r="C33">
        <v>101</v>
      </c>
      <c r="D33" t="s">
        <v>39</v>
      </c>
      <c r="E33">
        <v>7.6</v>
      </c>
      <c r="F33" t="s">
        <v>144</v>
      </c>
      <c r="G33" s="3">
        <v>37256</v>
      </c>
      <c r="H33" s="6" t="s">
        <v>145</v>
      </c>
    </row>
    <row r="34" spans="1:8" x14ac:dyDescent="0.25">
      <c r="A34" t="s">
        <v>146</v>
      </c>
      <c r="B34">
        <v>2013</v>
      </c>
      <c r="C34">
        <v>112</v>
      </c>
      <c r="D34" t="s">
        <v>14</v>
      </c>
      <c r="E34">
        <v>7.5</v>
      </c>
      <c r="F34" t="s">
        <v>103</v>
      </c>
      <c r="G34" s="2" t="s">
        <v>147</v>
      </c>
      <c r="H34" s="6" t="s">
        <v>148</v>
      </c>
    </row>
    <row r="35" spans="1:8" x14ac:dyDescent="0.25">
      <c r="A35" t="s">
        <v>149</v>
      </c>
      <c r="B35">
        <v>2018</v>
      </c>
      <c r="C35">
        <v>90</v>
      </c>
      <c r="D35" t="s">
        <v>83</v>
      </c>
      <c r="E35">
        <v>7.5</v>
      </c>
      <c r="F35" t="s">
        <v>150</v>
      </c>
      <c r="G35" s="2" t="s">
        <v>151</v>
      </c>
      <c r="H35" s="6" t="s">
        <v>152</v>
      </c>
    </row>
    <row r="36" spans="1:8" x14ac:dyDescent="0.25">
      <c r="A36" t="s">
        <v>153</v>
      </c>
      <c r="B36">
        <v>2002</v>
      </c>
      <c r="C36">
        <v>113</v>
      </c>
      <c r="D36" t="s">
        <v>83</v>
      </c>
      <c r="E36">
        <v>7.5</v>
      </c>
      <c r="F36" t="s">
        <v>154</v>
      </c>
      <c r="G36" s="2" t="s">
        <v>155</v>
      </c>
      <c r="H36" s="6" t="s">
        <v>156</v>
      </c>
    </row>
    <row r="37" spans="1:8" x14ac:dyDescent="0.25">
      <c r="A37" t="s">
        <v>157</v>
      </c>
      <c r="B37">
        <v>1994</v>
      </c>
      <c r="C37">
        <v>123</v>
      </c>
      <c r="D37" t="s">
        <v>28</v>
      </c>
      <c r="E37">
        <v>7.5</v>
      </c>
      <c r="F37" t="s">
        <v>158</v>
      </c>
      <c r="G37" s="2" t="s">
        <v>159</v>
      </c>
      <c r="H37" s="6" t="s">
        <v>160</v>
      </c>
    </row>
    <row r="38" spans="1:8" x14ac:dyDescent="0.25">
      <c r="A38" t="s">
        <v>161</v>
      </c>
      <c r="B38">
        <v>1994</v>
      </c>
      <c r="C38">
        <v>102</v>
      </c>
      <c r="D38" t="s">
        <v>162</v>
      </c>
      <c r="E38">
        <v>7.5</v>
      </c>
      <c r="F38" t="s">
        <v>163</v>
      </c>
      <c r="G38" s="2" t="s">
        <v>164</v>
      </c>
      <c r="H38" s="6" t="s">
        <v>165</v>
      </c>
    </row>
    <row r="39" spans="1:8" x14ac:dyDescent="0.25">
      <c r="A39" t="s">
        <v>166</v>
      </c>
      <c r="B39">
        <v>1981</v>
      </c>
      <c r="C39">
        <v>97</v>
      </c>
      <c r="D39" t="s">
        <v>44</v>
      </c>
      <c r="E39">
        <v>7.5</v>
      </c>
      <c r="F39" t="s">
        <v>167</v>
      </c>
      <c r="G39" s="2" t="s">
        <v>168</v>
      </c>
      <c r="H39" s="6" t="s">
        <v>169</v>
      </c>
    </row>
    <row r="40" spans="1:8" x14ac:dyDescent="0.25">
      <c r="A40" t="s">
        <v>170</v>
      </c>
      <c r="B40">
        <v>2010</v>
      </c>
      <c r="C40">
        <v>89</v>
      </c>
      <c r="D40" t="s">
        <v>44</v>
      </c>
      <c r="E40">
        <v>7.5</v>
      </c>
      <c r="F40" t="s">
        <v>171</v>
      </c>
      <c r="G40" s="2" t="s">
        <v>172</v>
      </c>
      <c r="H40" s="6" t="s">
        <v>173</v>
      </c>
    </row>
    <row r="41" spans="1:8" x14ac:dyDescent="0.25">
      <c r="A41" t="s">
        <v>174</v>
      </c>
      <c r="B41">
        <v>1973</v>
      </c>
      <c r="C41">
        <v>88</v>
      </c>
      <c r="D41" t="s">
        <v>14</v>
      </c>
      <c r="E41">
        <v>7.5</v>
      </c>
      <c r="F41" t="s">
        <v>175</v>
      </c>
      <c r="G41" s="3">
        <v>85380</v>
      </c>
      <c r="H41" s="6" t="s">
        <v>176</v>
      </c>
    </row>
    <row r="42" spans="1:8" x14ac:dyDescent="0.25">
      <c r="A42" t="s">
        <v>177</v>
      </c>
      <c r="B42">
        <v>1976</v>
      </c>
      <c r="C42">
        <v>111</v>
      </c>
      <c r="D42" t="s">
        <v>178</v>
      </c>
      <c r="E42">
        <v>7.5</v>
      </c>
      <c r="F42" t="s">
        <v>179</v>
      </c>
      <c r="G42" s="2" t="s">
        <v>180</v>
      </c>
      <c r="H42" s="6" t="s">
        <v>181</v>
      </c>
    </row>
    <row r="43" spans="1:8" x14ac:dyDescent="0.25">
      <c r="A43" t="s">
        <v>182</v>
      </c>
      <c r="B43">
        <v>2007</v>
      </c>
      <c r="C43">
        <v>191</v>
      </c>
      <c r="D43" t="s">
        <v>107</v>
      </c>
      <c r="E43">
        <v>7.5</v>
      </c>
      <c r="F43" t="s">
        <v>183</v>
      </c>
      <c r="G43" s="2" t="s">
        <v>184</v>
      </c>
      <c r="H43" s="6" t="s">
        <v>185</v>
      </c>
    </row>
    <row r="44" spans="1:8" x14ac:dyDescent="0.25">
      <c r="A44" t="s">
        <v>186</v>
      </c>
      <c r="B44">
        <v>1992</v>
      </c>
      <c r="C44">
        <v>104</v>
      </c>
      <c r="D44" t="s">
        <v>187</v>
      </c>
      <c r="E44">
        <v>7.5</v>
      </c>
      <c r="F44" t="s">
        <v>188</v>
      </c>
      <c r="G44" s="2" t="s">
        <v>189</v>
      </c>
      <c r="H44" s="6" t="s">
        <v>190</v>
      </c>
    </row>
    <row r="45" spans="1:8" x14ac:dyDescent="0.25">
      <c r="A45" t="s">
        <v>191</v>
      </c>
      <c r="B45">
        <v>1954</v>
      </c>
      <c r="C45">
        <v>96</v>
      </c>
      <c r="D45" t="s">
        <v>9</v>
      </c>
      <c r="E45">
        <v>7.5</v>
      </c>
      <c r="F45" t="s">
        <v>192</v>
      </c>
      <c r="G45" s="3">
        <v>35705</v>
      </c>
      <c r="H45" s="6" t="s">
        <v>193</v>
      </c>
    </row>
    <row r="46" spans="1:8" x14ac:dyDescent="0.25">
      <c r="A46" t="s">
        <v>194</v>
      </c>
      <c r="B46">
        <v>1981</v>
      </c>
      <c r="C46">
        <v>85</v>
      </c>
      <c r="D46" t="s">
        <v>30</v>
      </c>
      <c r="E46">
        <v>7.4</v>
      </c>
      <c r="F46" t="s">
        <v>91</v>
      </c>
      <c r="G46" s="2" t="s">
        <v>195</v>
      </c>
      <c r="H46" s="6" t="s">
        <v>196</v>
      </c>
    </row>
    <row r="47" spans="1:8" x14ac:dyDescent="0.25">
      <c r="A47" t="s">
        <v>197</v>
      </c>
      <c r="B47">
        <v>1996</v>
      </c>
      <c r="C47">
        <v>111</v>
      </c>
      <c r="D47" t="s">
        <v>178</v>
      </c>
      <c r="E47">
        <v>7.4</v>
      </c>
      <c r="F47" t="s">
        <v>198</v>
      </c>
      <c r="G47" s="2" t="s">
        <v>199</v>
      </c>
      <c r="H47" s="6" t="s">
        <v>200</v>
      </c>
    </row>
    <row r="48" spans="1:8" x14ac:dyDescent="0.25">
      <c r="A48" t="s">
        <v>201</v>
      </c>
      <c r="B48">
        <v>1992</v>
      </c>
      <c r="C48">
        <v>128</v>
      </c>
      <c r="D48" t="s">
        <v>28</v>
      </c>
      <c r="E48">
        <v>7.4</v>
      </c>
      <c r="F48" t="s">
        <v>202</v>
      </c>
      <c r="G48" s="2" t="s">
        <v>203</v>
      </c>
      <c r="H48" s="6" t="s">
        <v>204</v>
      </c>
    </row>
    <row r="49" spans="1:8" x14ac:dyDescent="0.25">
      <c r="A49" t="s">
        <v>205</v>
      </c>
      <c r="B49">
        <v>1992</v>
      </c>
      <c r="C49">
        <v>81</v>
      </c>
      <c r="D49" t="s">
        <v>44</v>
      </c>
      <c r="E49">
        <v>7.4</v>
      </c>
      <c r="F49" t="s">
        <v>91</v>
      </c>
      <c r="G49" s="2" t="s">
        <v>206</v>
      </c>
      <c r="H49" s="6" t="s">
        <v>207</v>
      </c>
    </row>
    <row r="50" spans="1:8" x14ac:dyDescent="0.25">
      <c r="A50" t="s">
        <v>208</v>
      </c>
      <c r="B50">
        <v>1975</v>
      </c>
      <c r="C50">
        <v>100</v>
      </c>
      <c r="D50" t="s">
        <v>209</v>
      </c>
      <c r="E50">
        <v>7.4</v>
      </c>
      <c r="F50" t="s">
        <v>210</v>
      </c>
      <c r="G50" s="2" t="s">
        <v>211</v>
      </c>
      <c r="H50" s="6" t="s">
        <v>212</v>
      </c>
    </row>
    <row r="51" spans="1:8" x14ac:dyDescent="0.25">
      <c r="A51" t="s">
        <v>213</v>
      </c>
      <c r="B51">
        <v>1984</v>
      </c>
      <c r="C51">
        <v>91</v>
      </c>
      <c r="D51" t="s">
        <v>30</v>
      </c>
      <c r="E51">
        <v>7.4</v>
      </c>
      <c r="F51" t="s">
        <v>198</v>
      </c>
      <c r="G51" s="2" t="s">
        <v>214</v>
      </c>
      <c r="H51" s="6" t="s">
        <v>215</v>
      </c>
    </row>
    <row r="52" spans="1:8" x14ac:dyDescent="0.25">
      <c r="A52" t="s">
        <v>216</v>
      </c>
      <c r="B52">
        <v>1974</v>
      </c>
      <c r="C52">
        <v>83</v>
      </c>
      <c r="D52" t="s">
        <v>30</v>
      </c>
      <c r="E52">
        <v>7.4</v>
      </c>
      <c r="F52" t="s">
        <v>217</v>
      </c>
      <c r="G52" s="2" t="s">
        <v>218</v>
      </c>
      <c r="H52" s="6" t="s">
        <v>219</v>
      </c>
    </row>
    <row r="53" spans="1:8" x14ac:dyDescent="0.25">
      <c r="A53" t="s">
        <v>220</v>
      </c>
      <c r="B53">
        <v>1976</v>
      </c>
      <c r="C53">
        <v>98</v>
      </c>
      <c r="D53" t="s">
        <v>178</v>
      </c>
      <c r="E53">
        <v>7.4</v>
      </c>
      <c r="F53" t="s">
        <v>221</v>
      </c>
      <c r="G53" s="2" t="s">
        <v>222</v>
      </c>
      <c r="H53" s="6" t="s">
        <v>223</v>
      </c>
    </row>
    <row r="54" spans="1:8" x14ac:dyDescent="0.25">
      <c r="A54" t="s">
        <v>224</v>
      </c>
      <c r="B54">
        <v>1990</v>
      </c>
      <c r="C54">
        <v>113</v>
      </c>
      <c r="D54" t="s">
        <v>42</v>
      </c>
      <c r="E54">
        <v>7.4</v>
      </c>
      <c r="F54" t="s">
        <v>225</v>
      </c>
      <c r="G54" s="2" t="s">
        <v>226</v>
      </c>
      <c r="H54" s="6" t="s">
        <v>227</v>
      </c>
    </row>
    <row r="55" spans="1:8" x14ac:dyDescent="0.25">
      <c r="A55" t="s">
        <v>97</v>
      </c>
      <c r="B55">
        <v>1978</v>
      </c>
      <c r="C55">
        <v>115</v>
      </c>
      <c r="D55" t="s">
        <v>9</v>
      </c>
      <c r="E55">
        <v>7.4</v>
      </c>
      <c r="F55" t="s">
        <v>228</v>
      </c>
      <c r="G55" s="3">
        <v>64115</v>
      </c>
      <c r="H55" s="6" t="s">
        <v>229</v>
      </c>
    </row>
    <row r="56" spans="1:8" x14ac:dyDescent="0.25">
      <c r="A56" t="s">
        <v>231</v>
      </c>
      <c r="B56">
        <v>2007</v>
      </c>
      <c r="C56">
        <v>105</v>
      </c>
      <c r="D56" t="s">
        <v>42</v>
      </c>
      <c r="E56">
        <v>7.4</v>
      </c>
      <c r="F56" t="s">
        <v>232</v>
      </c>
      <c r="G56" s="2" t="s">
        <v>233</v>
      </c>
      <c r="H56" s="6" t="s">
        <v>234</v>
      </c>
    </row>
    <row r="57" spans="1:8" x14ac:dyDescent="0.25">
      <c r="A57" t="s">
        <v>235</v>
      </c>
      <c r="B57">
        <v>2001</v>
      </c>
      <c r="C57">
        <v>106</v>
      </c>
      <c r="D57" t="s">
        <v>39</v>
      </c>
      <c r="E57">
        <v>7.4</v>
      </c>
      <c r="F57" t="s">
        <v>236</v>
      </c>
      <c r="G57" s="3">
        <v>68728</v>
      </c>
      <c r="H57" s="6" t="s">
        <v>237</v>
      </c>
    </row>
    <row r="58" spans="1:8" x14ac:dyDescent="0.25">
      <c r="A58" t="s">
        <v>238</v>
      </c>
      <c r="B58">
        <v>1963</v>
      </c>
      <c r="C58">
        <v>112</v>
      </c>
      <c r="D58" t="s">
        <v>30</v>
      </c>
      <c r="E58">
        <v>7.4</v>
      </c>
      <c r="F58" t="s">
        <v>239</v>
      </c>
      <c r="G58" s="3">
        <v>40711</v>
      </c>
      <c r="H58" s="6" t="s">
        <v>87</v>
      </c>
    </row>
    <row r="59" spans="1:8" x14ac:dyDescent="0.25">
      <c r="A59" t="s">
        <v>241</v>
      </c>
      <c r="B59">
        <v>2007</v>
      </c>
      <c r="C59">
        <v>159</v>
      </c>
      <c r="D59" t="s">
        <v>242</v>
      </c>
      <c r="E59">
        <v>7.4</v>
      </c>
      <c r="F59" t="s">
        <v>243</v>
      </c>
      <c r="G59" s="3">
        <v>30282</v>
      </c>
      <c r="H59" s="6" t="s">
        <v>244</v>
      </c>
    </row>
    <row r="60" spans="1:8" x14ac:dyDescent="0.25">
      <c r="A60" t="s">
        <v>245</v>
      </c>
      <c r="B60">
        <v>2018</v>
      </c>
      <c r="C60">
        <v>127</v>
      </c>
      <c r="D60" t="s">
        <v>42</v>
      </c>
      <c r="E60">
        <v>7.3</v>
      </c>
      <c r="F60" t="s">
        <v>246</v>
      </c>
      <c r="G60" s="2" t="s">
        <v>247</v>
      </c>
      <c r="H60" s="6" t="s">
        <v>248</v>
      </c>
    </row>
    <row r="61" spans="1:8" x14ac:dyDescent="0.25">
      <c r="A61" t="s">
        <v>249</v>
      </c>
      <c r="B61">
        <v>2017</v>
      </c>
      <c r="C61">
        <v>135</v>
      </c>
      <c r="D61" t="s">
        <v>30</v>
      </c>
      <c r="E61">
        <v>7.3</v>
      </c>
      <c r="F61" t="s">
        <v>250</v>
      </c>
      <c r="G61" s="2" t="s">
        <v>251</v>
      </c>
      <c r="H61" s="6" t="s">
        <v>252</v>
      </c>
    </row>
    <row r="62" spans="1:8" x14ac:dyDescent="0.25">
      <c r="A62" t="s">
        <v>253</v>
      </c>
      <c r="B62">
        <v>2016</v>
      </c>
      <c r="C62">
        <v>117</v>
      </c>
      <c r="D62" t="s">
        <v>72</v>
      </c>
      <c r="E62">
        <v>7.3</v>
      </c>
      <c r="F62" t="s">
        <v>254</v>
      </c>
      <c r="G62" s="2" t="s">
        <v>255</v>
      </c>
      <c r="H62" s="6" t="s">
        <v>256</v>
      </c>
    </row>
    <row r="63" spans="1:8" x14ac:dyDescent="0.25">
      <c r="A63" t="s">
        <v>257</v>
      </c>
      <c r="B63">
        <v>2019</v>
      </c>
      <c r="C63">
        <v>152</v>
      </c>
      <c r="D63" t="s">
        <v>28</v>
      </c>
      <c r="E63">
        <v>7.3</v>
      </c>
      <c r="F63" t="s">
        <v>258</v>
      </c>
      <c r="G63" s="2" t="s">
        <v>259</v>
      </c>
      <c r="H63" s="6" t="s">
        <v>260</v>
      </c>
    </row>
    <row r="64" spans="1:8" x14ac:dyDescent="0.25">
      <c r="A64" t="s">
        <v>71</v>
      </c>
      <c r="B64">
        <v>2004</v>
      </c>
      <c r="C64">
        <v>101</v>
      </c>
      <c r="D64" t="s">
        <v>261</v>
      </c>
      <c r="E64">
        <v>7.3</v>
      </c>
      <c r="F64" t="s">
        <v>262</v>
      </c>
      <c r="G64" s="2" t="s">
        <v>263</v>
      </c>
      <c r="H64" s="6" t="s">
        <v>264</v>
      </c>
    </row>
    <row r="65" spans="1:8" x14ac:dyDescent="0.25">
      <c r="A65" t="s">
        <v>265</v>
      </c>
      <c r="B65">
        <v>1981</v>
      </c>
      <c r="C65">
        <v>124</v>
      </c>
      <c r="D65" t="s">
        <v>19</v>
      </c>
      <c r="E65">
        <v>7.3</v>
      </c>
      <c r="F65" t="s">
        <v>266</v>
      </c>
      <c r="G65" s="3">
        <v>36874</v>
      </c>
      <c r="H65" s="6" t="s">
        <v>267</v>
      </c>
    </row>
    <row r="66" spans="1:8" x14ac:dyDescent="0.25">
      <c r="A66" t="s">
        <v>268</v>
      </c>
      <c r="B66">
        <v>1982</v>
      </c>
      <c r="C66">
        <v>114</v>
      </c>
      <c r="D66" t="s">
        <v>72</v>
      </c>
      <c r="E66">
        <v>7.3</v>
      </c>
      <c r="F66" t="s">
        <v>217</v>
      </c>
      <c r="G66" s="2" t="s">
        <v>269</v>
      </c>
      <c r="H66" s="6" t="s">
        <v>270</v>
      </c>
    </row>
    <row r="67" spans="1:8" x14ac:dyDescent="0.25">
      <c r="A67" t="s">
        <v>271</v>
      </c>
      <c r="B67">
        <v>2007</v>
      </c>
      <c r="C67">
        <v>116</v>
      </c>
      <c r="D67" t="s">
        <v>272</v>
      </c>
      <c r="E67">
        <v>7.3</v>
      </c>
      <c r="F67" t="s">
        <v>273</v>
      </c>
      <c r="G67" s="2" t="s">
        <v>274</v>
      </c>
      <c r="H67" s="6" t="s">
        <v>275</v>
      </c>
    </row>
    <row r="68" spans="1:8" x14ac:dyDescent="0.25">
      <c r="A68" t="s">
        <v>276</v>
      </c>
      <c r="B68">
        <v>1984</v>
      </c>
      <c r="C68">
        <v>106</v>
      </c>
      <c r="D68" t="s">
        <v>187</v>
      </c>
      <c r="E68">
        <v>7.3</v>
      </c>
      <c r="F68" t="s">
        <v>277</v>
      </c>
      <c r="G68" s="2" t="s">
        <v>278</v>
      </c>
      <c r="H68" s="6" t="s">
        <v>279</v>
      </c>
    </row>
    <row r="69" spans="1:8" x14ac:dyDescent="0.25">
      <c r="A69" t="s">
        <v>280</v>
      </c>
      <c r="B69">
        <v>2016</v>
      </c>
      <c r="C69">
        <v>134</v>
      </c>
      <c r="D69" t="s">
        <v>14</v>
      </c>
      <c r="E69">
        <v>7.3</v>
      </c>
      <c r="F69" t="s">
        <v>103</v>
      </c>
      <c r="G69" s="2" t="s">
        <v>281</v>
      </c>
      <c r="H69" s="6" t="s">
        <v>282</v>
      </c>
    </row>
    <row r="70" spans="1:8" x14ac:dyDescent="0.25">
      <c r="A70" t="s">
        <v>283</v>
      </c>
      <c r="B70">
        <v>1999</v>
      </c>
      <c r="C70">
        <v>105</v>
      </c>
      <c r="D70" t="s">
        <v>284</v>
      </c>
      <c r="E70">
        <v>7.3</v>
      </c>
      <c r="F70" t="s">
        <v>273</v>
      </c>
      <c r="G70" s="2" t="s">
        <v>285</v>
      </c>
      <c r="H70" s="6" t="s">
        <v>286</v>
      </c>
    </row>
    <row r="71" spans="1:8" x14ac:dyDescent="0.25">
      <c r="A71" t="s">
        <v>287</v>
      </c>
      <c r="B71">
        <v>2011</v>
      </c>
      <c r="C71">
        <v>120</v>
      </c>
      <c r="D71" t="s">
        <v>83</v>
      </c>
      <c r="E71">
        <v>7.3</v>
      </c>
      <c r="F71" t="s">
        <v>288</v>
      </c>
      <c r="G71" s="2" t="s">
        <v>289</v>
      </c>
      <c r="H71" s="6" t="s">
        <v>290</v>
      </c>
    </row>
    <row r="72" spans="1:8" x14ac:dyDescent="0.25">
      <c r="A72" t="s">
        <v>291</v>
      </c>
      <c r="B72">
        <v>1977</v>
      </c>
      <c r="C72">
        <v>89</v>
      </c>
      <c r="D72" t="s">
        <v>48</v>
      </c>
      <c r="E72">
        <v>7.3</v>
      </c>
      <c r="F72" t="s">
        <v>292</v>
      </c>
      <c r="G72" s="2" t="s">
        <v>293</v>
      </c>
      <c r="H72" s="6" t="s">
        <v>294</v>
      </c>
    </row>
    <row r="73" spans="1:8" x14ac:dyDescent="0.25">
      <c r="A73" t="s">
        <v>295</v>
      </c>
      <c r="B73">
        <v>1985</v>
      </c>
      <c r="C73">
        <v>91</v>
      </c>
      <c r="D73" t="s">
        <v>296</v>
      </c>
      <c r="E73">
        <v>7.3</v>
      </c>
      <c r="F73" t="s">
        <v>297</v>
      </c>
      <c r="G73" s="3">
        <v>64592</v>
      </c>
      <c r="H73" s="6" t="s">
        <v>298</v>
      </c>
    </row>
    <row r="74" spans="1:8" x14ac:dyDescent="0.25">
      <c r="A74" t="s">
        <v>299</v>
      </c>
      <c r="B74">
        <v>1992</v>
      </c>
      <c r="C74">
        <v>134</v>
      </c>
      <c r="D74" t="s">
        <v>42</v>
      </c>
      <c r="E74">
        <v>7.3</v>
      </c>
      <c r="F74" t="s">
        <v>292</v>
      </c>
      <c r="G74" s="2" t="s">
        <v>300</v>
      </c>
      <c r="H74" s="6" t="s">
        <v>301</v>
      </c>
    </row>
    <row r="75" spans="1:8" x14ac:dyDescent="0.25">
      <c r="A75" t="s">
        <v>303</v>
      </c>
      <c r="B75">
        <v>1998</v>
      </c>
      <c r="C75">
        <v>84</v>
      </c>
      <c r="D75" t="s">
        <v>42</v>
      </c>
      <c r="E75">
        <v>7.3</v>
      </c>
      <c r="F75" t="s">
        <v>304</v>
      </c>
      <c r="G75" s="2" t="s">
        <v>305</v>
      </c>
      <c r="H75" s="6" t="s">
        <v>306</v>
      </c>
    </row>
    <row r="76" spans="1:8" x14ac:dyDescent="0.25">
      <c r="A76" t="s">
        <v>309</v>
      </c>
      <c r="B76">
        <v>1996</v>
      </c>
      <c r="C76">
        <v>108</v>
      </c>
      <c r="D76" t="s">
        <v>67</v>
      </c>
      <c r="E76">
        <v>7.2</v>
      </c>
      <c r="F76" t="s">
        <v>183</v>
      </c>
      <c r="G76" s="2" t="s">
        <v>310</v>
      </c>
      <c r="H76" s="6" t="s">
        <v>311</v>
      </c>
    </row>
    <row r="77" spans="1:8" x14ac:dyDescent="0.25">
      <c r="A77" t="s">
        <v>312</v>
      </c>
      <c r="B77">
        <v>1987</v>
      </c>
      <c r="C77">
        <v>97</v>
      </c>
      <c r="D77" t="s">
        <v>44</v>
      </c>
      <c r="E77">
        <v>7.2</v>
      </c>
      <c r="F77" t="s">
        <v>313</v>
      </c>
      <c r="G77" s="2" t="s">
        <v>314</v>
      </c>
      <c r="H77" s="6" t="s">
        <v>315</v>
      </c>
    </row>
    <row r="78" spans="1:8" x14ac:dyDescent="0.25">
      <c r="A78" t="s">
        <v>316</v>
      </c>
      <c r="B78">
        <v>2020</v>
      </c>
      <c r="C78">
        <v>97</v>
      </c>
      <c r="D78" t="s">
        <v>83</v>
      </c>
      <c r="E78">
        <v>7.2</v>
      </c>
      <c r="F78" t="s">
        <v>150</v>
      </c>
      <c r="G78" s="2" t="s">
        <v>317</v>
      </c>
      <c r="H78" s="6" t="s">
        <v>318</v>
      </c>
    </row>
    <row r="79" spans="1:8" x14ac:dyDescent="0.25">
      <c r="A79" t="s">
        <v>319</v>
      </c>
      <c r="B79">
        <v>2005</v>
      </c>
      <c r="C79">
        <v>99</v>
      </c>
      <c r="D79" t="s">
        <v>320</v>
      </c>
      <c r="E79">
        <v>7.2</v>
      </c>
      <c r="F79" t="s">
        <v>321</v>
      </c>
      <c r="G79" s="2" t="s">
        <v>322</v>
      </c>
      <c r="H79" s="6" t="s">
        <v>323</v>
      </c>
    </row>
    <row r="80" spans="1:8" x14ac:dyDescent="0.25">
      <c r="A80" t="s">
        <v>324</v>
      </c>
      <c r="B80">
        <v>1988</v>
      </c>
      <c r="C80">
        <v>94</v>
      </c>
      <c r="D80" t="s">
        <v>325</v>
      </c>
      <c r="E80">
        <v>7.2</v>
      </c>
      <c r="F80" t="s">
        <v>25</v>
      </c>
      <c r="G80" s="2" t="s">
        <v>326</v>
      </c>
      <c r="H80" s="6" t="s">
        <v>327</v>
      </c>
    </row>
    <row r="81" spans="1:8" x14ac:dyDescent="0.25">
      <c r="A81" t="s">
        <v>328</v>
      </c>
      <c r="B81">
        <v>2007</v>
      </c>
      <c r="C81">
        <v>101</v>
      </c>
      <c r="D81" t="s">
        <v>329</v>
      </c>
      <c r="E81">
        <v>7.2</v>
      </c>
      <c r="F81" t="s">
        <v>330</v>
      </c>
      <c r="G81" s="2" t="s">
        <v>331</v>
      </c>
      <c r="H81" s="6" t="s">
        <v>332</v>
      </c>
    </row>
    <row r="82" spans="1:8" x14ac:dyDescent="0.25">
      <c r="A82" t="s">
        <v>333</v>
      </c>
      <c r="B82">
        <v>2016</v>
      </c>
      <c r="C82">
        <v>103</v>
      </c>
      <c r="D82" t="s">
        <v>42</v>
      </c>
      <c r="E82">
        <v>7.2</v>
      </c>
      <c r="F82" t="s">
        <v>334</v>
      </c>
      <c r="G82" s="2" t="s">
        <v>335</v>
      </c>
      <c r="H82" s="6" t="s">
        <v>336</v>
      </c>
    </row>
    <row r="83" spans="1:8" x14ac:dyDescent="0.25">
      <c r="A83" t="s">
        <v>337</v>
      </c>
      <c r="B83">
        <v>1988</v>
      </c>
      <c r="C83">
        <v>116</v>
      </c>
      <c r="D83" t="s">
        <v>39</v>
      </c>
      <c r="E83">
        <v>7.2</v>
      </c>
      <c r="F83" t="s">
        <v>112</v>
      </c>
      <c r="G83" s="3">
        <v>50992</v>
      </c>
      <c r="H83" s="6" t="s">
        <v>338</v>
      </c>
    </row>
    <row r="84" spans="1:8" x14ac:dyDescent="0.25">
      <c r="A84" t="s">
        <v>339</v>
      </c>
      <c r="B84">
        <v>1987</v>
      </c>
      <c r="C84">
        <v>113</v>
      </c>
      <c r="D84" t="s">
        <v>14</v>
      </c>
      <c r="E84">
        <v>7.2</v>
      </c>
      <c r="F84" t="s">
        <v>340</v>
      </c>
      <c r="G84" s="3">
        <v>91791</v>
      </c>
      <c r="H84" s="6" t="s">
        <v>341</v>
      </c>
    </row>
    <row r="85" spans="1:8" x14ac:dyDescent="0.25">
      <c r="A85" t="s">
        <v>343</v>
      </c>
      <c r="B85">
        <v>1983</v>
      </c>
      <c r="C85">
        <v>87</v>
      </c>
      <c r="D85" t="s">
        <v>344</v>
      </c>
      <c r="E85">
        <v>7.2</v>
      </c>
      <c r="F85" t="s">
        <v>112</v>
      </c>
      <c r="G85" s="3">
        <v>97693</v>
      </c>
      <c r="H85" s="6" t="s">
        <v>52</v>
      </c>
    </row>
    <row r="86" spans="1:8" x14ac:dyDescent="0.25">
      <c r="A86" t="s">
        <v>345</v>
      </c>
      <c r="B86">
        <v>1985</v>
      </c>
      <c r="C86">
        <v>84</v>
      </c>
      <c r="D86" t="s">
        <v>296</v>
      </c>
      <c r="E86">
        <v>7.2</v>
      </c>
      <c r="F86" t="s">
        <v>346</v>
      </c>
      <c r="G86" s="3">
        <v>68040</v>
      </c>
      <c r="H86" s="6" t="s">
        <v>347</v>
      </c>
    </row>
    <row r="87" spans="1:8" x14ac:dyDescent="0.25">
      <c r="A87" t="s">
        <v>348</v>
      </c>
      <c r="B87">
        <v>2013</v>
      </c>
      <c r="C87">
        <v>123</v>
      </c>
      <c r="D87" t="s">
        <v>349</v>
      </c>
      <c r="E87">
        <v>7.2</v>
      </c>
      <c r="F87" t="s">
        <v>350</v>
      </c>
      <c r="G87" s="2" t="s">
        <v>351</v>
      </c>
      <c r="H87" s="6" t="s">
        <v>352</v>
      </c>
    </row>
    <row r="88" spans="1:8" x14ac:dyDescent="0.25">
      <c r="A88" t="s">
        <v>355</v>
      </c>
      <c r="B88">
        <v>1983</v>
      </c>
      <c r="C88">
        <v>103</v>
      </c>
      <c r="D88" t="s">
        <v>83</v>
      </c>
      <c r="E88">
        <v>7.2</v>
      </c>
      <c r="F88" t="s">
        <v>112</v>
      </c>
      <c r="G88" s="3">
        <v>73727</v>
      </c>
      <c r="H88" s="6" t="s">
        <v>356</v>
      </c>
    </row>
    <row r="89" spans="1:8" x14ac:dyDescent="0.25">
      <c r="A89" t="s">
        <v>357</v>
      </c>
      <c r="B89">
        <v>2019</v>
      </c>
      <c r="C89">
        <v>148</v>
      </c>
      <c r="D89" t="s">
        <v>42</v>
      </c>
      <c r="E89">
        <v>7.1</v>
      </c>
      <c r="F89" t="s">
        <v>246</v>
      </c>
      <c r="G89" s="2" t="s">
        <v>358</v>
      </c>
      <c r="H89" s="6" t="s">
        <v>359</v>
      </c>
    </row>
    <row r="90" spans="1:8" x14ac:dyDescent="0.25">
      <c r="A90" t="s">
        <v>360</v>
      </c>
      <c r="B90">
        <v>2002</v>
      </c>
      <c r="C90">
        <v>115</v>
      </c>
      <c r="D90" t="s">
        <v>178</v>
      </c>
      <c r="E90">
        <v>7.1</v>
      </c>
      <c r="F90" t="s">
        <v>361</v>
      </c>
      <c r="G90" s="2" t="s">
        <v>362</v>
      </c>
      <c r="H90" s="6" t="s">
        <v>363</v>
      </c>
    </row>
    <row r="91" spans="1:8" x14ac:dyDescent="0.25">
      <c r="A91" t="s">
        <v>364</v>
      </c>
      <c r="B91">
        <v>2007</v>
      </c>
      <c r="C91">
        <v>126</v>
      </c>
      <c r="D91" t="s">
        <v>344</v>
      </c>
      <c r="E91">
        <v>7.1</v>
      </c>
      <c r="F91" t="s">
        <v>365</v>
      </c>
      <c r="G91" s="2" t="s">
        <v>366</v>
      </c>
      <c r="H91" s="6" t="s">
        <v>367</v>
      </c>
    </row>
    <row r="92" spans="1:8" x14ac:dyDescent="0.25">
      <c r="A92" t="s">
        <v>368</v>
      </c>
      <c r="B92">
        <v>2016</v>
      </c>
      <c r="C92">
        <v>88</v>
      </c>
      <c r="D92" t="s">
        <v>369</v>
      </c>
      <c r="E92">
        <v>7.1</v>
      </c>
      <c r="F92" t="s">
        <v>370</v>
      </c>
      <c r="G92" s="2" t="s">
        <v>371</v>
      </c>
      <c r="H92" s="6" t="s">
        <v>372</v>
      </c>
    </row>
    <row r="93" spans="1:8" x14ac:dyDescent="0.25">
      <c r="A93" t="s">
        <v>373</v>
      </c>
      <c r="B93">
        <v>1986</v>
      </c>
      <c r="C93">
        <v>94</v>
      </c>
      <c r="D93" t="s">
        <v>209</v>
      </c>
      <c r="E93">
        <v>7.1</v>
      </c>
      <c r="F93" t="s">
        <v>374</v>
      </c>
      <c r="G93" s="3">
        <v>80770</v>
      </c>
      <c r="H93" s="6" t="s">
        <v>375</v>
      </c>
    </row>
    <row r="94" spans="1:8" x14ac:dyDescent="0.25">
      <c r="A94" t="s">
        <v>376</v>
      </c>
      <c r="B94">
        <v>1998</v>
      </c>
      <c r="C94">
        <v>120</v>
      </c>
      <c r="D94" t="s">
        <v>325</v>
      </c>
      <c r="E94">
        <v>7.1</v>
      </c>
      <c r="F94" t="s">
        <v>377</v>
      </c>
      <c r="G94" s="2" t="s">
        <v>378</v>
      </c>
      <c r="H94" s="6" t="s">
        <v>379</v>
      </c>
    </row>
    <row r="95" spans="1:8" x14ac:dyDescent="0.25">
      <c r="A95" t="s">
        <v>380</v>
      </c>
      <c r="B95">
        <v>2020</v>
      </c>
      <c r="C95">
        <v>124</v>
      </c>
      <c r="D95" t="s">
        <v>42</v>
      </c>
      <c r="E95">
        <v>7.1</v>
      </c>
      <c r="F95" t="s">
        <v>381</v>
      </c>
      <c r="G95" s="2" t="s">
        <v>382</v>
      </c>
      <c r="H95" s="6" t="s">
        <v>383</v>
      </c>
    </row>
    <row r="96" spans="1:8" x14ac:dyDescent="0.25">
      <c r="A96" t="s">
        <v>384</v>
      </c>
      <c r="B96">
        <v>1990</v>
      </c>
      <c r="C96">
        <v>96</v>
      </c>
      <c r="D96" t="s">
        <v>44</v>
      </c>
      <c r="E96">
        <v>7.1</v>
      </c>
      <c r="F96" t="s">
        <v>385</v>
      </c>
      <c r="G96" s="2" t="s">
        <v>386</v>
      </c>
      <c r="H96" s="6" t="s">
        <v>387</v>
      </c>
    </row>
    <row r="97" spans="1:8" x14ac:dyDescent="0.25">
      <c r="A97" t="s">
        <v>388</v>
      </c>
      <c r="B97">
        <v>1973</v>
      </c>
      <c r="C97">
        <v>110</v>
      </c>
      <c r="D97" t="s">
        <v>42</v>
      </c>
      <c r="E97">
        <v>7.1</v>
      </c>
      <c r="F97" t="s">
        <v>389</v>
      </c>
      <c r="G97" s="3">
        <v>58877</v>
      </c>
      <c r="H97" s="6" t="s">
        <v>390</v>
      </c>
    </row>
    <row r="98" spans="1:8" x14ac:dyDescent="0.25">
      <c r="A98" t="s">
        <v>391</v>
      </c>
      <c r="B98">
        <v>2010</v>
      </c>
      <c r="C98">
        <v>116</v>
      </c>
      <c r="D98" t="s">
        <v>28</v>
      </c>
      <c r="E98">
        <v>7.1</v>
      </c>
      <c r="F98" t="s">
        <v>392</v>
      </c>
      <c r="G98" s="2" t="s">
        <v>393</v>
      </c>
      <c r="H98" s="6" t="s">
        <v>394</v>
      </c>
    </row>
    <row r="99" spans="1:8" x14ac:dyDescent="0.25">
      <c r="A99" t="s">
        <v>395</v>
      </c>
      <c r="B99">
        <v>1997</v>
      </c>
      <c r="C99">
        <v>90</v>
      </c>
      <c r="D99" t="s">
        <v>42</v>
      </c>
      <c r="E99">
        <v>7.1</v>
      </c>
      <c r="F99" t="s">
        <v>396</v>
      </c>
      <c r="G99" s="2" t="s">
        <v>397</v>
      </c>
      <c r="H99" s="6" t="s">
        <v>398</v>
      </c>
    </row>
    <row r="100" spans="1:8" x14ac:dyDescent="0.25">
      <c r="A100" t="s">
        <v>399</v>
      </c>
      <c r="B100">
        <v>1996</v>
      </c>
      <c r="C100">
        <v>110</v>
      </c>
      <c r="D100" t="s">
        <v>187</v>
      </c>
      <c r="E100">
        <v>7.1</v>
      </c>
      <c r="F100" t="s">
        <v>188</v>
      </c>
      <c r="G100" s="3">
        <v>91980</v>
      </c>
      <c r="H100" s="6" t="s">
        <v>400</v>
      </c>
    </row>
    <row r="101" spans="1:8" x14ac:dyDescent="0.25">
      <c r="A101" t="s">
        <v>401</v>
      </c>
      <c r="B101">
        <v>1994</v>
      </c>
      <c r="C101">
        <v>95</v>
      </c>
      <c r="D101" t="s">
        <v>28</v>
      </c>
      <c r="E101">
        <v>7.1</v>
      </c>
      <c r="F101" t="s">
        <v>25</v>
      </c>
      <c r="G101" s="3">
        <v>74185</v>
      </c>
      <c r="H101" s="6" t="s">
        <v>402</v>
      </c>
    </row>
    <row r="102" spans="1:8" x14ac:dyDescent="0.25">
      <c r="A102" t="s">
        <v>403</v>
      </c>
      <c r="B102">
        <v>2006</v>
      </c>
      <c r="C102">
        <v>120</v>
      </c>
      <c r="D102" t="s">
        <v>83</v>
      </c>
      <c r="E102">
        <v>7.1</v>
      </c>
      <c r="F102" t="s">
        <v>404</v>
      </c>
      <c r="G102" s="2" t="s">
        <v>405</v>
      </c>
      <c r="H102" s="6" t="s">
        <v>406</v>
      </c>
    </row>
    <row r="103" spans="1:8" x14ac:dyDescent="0.25">
      <c r="A103" t="s">
        <v>407</v>
      </c>
      <c r="B103">
        <v>1985</v>
      </c>
      <c r="C103">
        <v>101</v>
      </c>
      <c r="D103" t="s">
        <v>72</v>
      </c>
      <c r="E103">
        <v>7.1</v>
      </c>
      <c r="F103" t="s">
        <v>73</v>
      </c>
      <c r="G103" s="3">
        <v>71624</v>
      </c>
      <c r="H103" s="6" t="s">
        <v>408</v>
      </c>
    </row>
    <row r="104" spans="1:8" x14ac:dyDescent="0.25">
      <c r="A104" t="s">
        <v>409</v>
      </c>
      <c r="B104">
        <v>2007</v>
      </c>
      <c r="C104">
        <v>92</v>
      </c>
      <c r="D104" t="s">
        <v>24</v>
      </c>
      <c r="E104">
        <v>7.1</v>
      </c>
      <c r="F104" t="s">
        <v>410</v>
      </c>
      <c r="G104" s="3">
        <v>66167</v>
      </c>
      <c r="H104" s="6" t="s">
        <v>411</v>
      </c>
    </row>
    <row r="105" spans="1:8" x14ac:dyDescent="0.25">
      <c r="A105" t="s">
        <v>412</v>
      </c>
      <c r="B105">
        <v>1974</v>
      </c>
      <c r="C105">
        <v>98</v>
      </c>
      <c r="D105" t="s">
        <v>14</v>
      </c>
      <c r="E105">
        <v>7.1</v>
      </c>
      <c r="F105" t="s">
        <v>413</v>
      </c>
      <c r="G105" s="3">
        <v>44485</v>
      </c>
      <c r="H105" s="6" t="s">
        <v>41</v>
      </c>
    </row>
    <row r="106" spans="1:8" x14ac:dyDescent="0.25">
      <c r="A106" t="s">
        <v>414</v>
      </c>
      <c r="B106">
        <v>2009</v>
      </c>
      <c r="C106">
        <v>134</v>
      </c>
      <c r="D106" t="s">
        <v>28</v>
      </c>
      <c r="E106">
        <v>7.1</v>
      </c>
      <c r="F106" t="s">
        <v>415</v>
      </c>
      <c r="G106" s="3">
        <v>49291</v>
      </c>
      <c r="H106" s="6" t="s">
        <v>416</v>
      </c>
    </row>
    <row r="107" spans="1:8" x14ac:dyDescent="0.25">
      <c r="A107" t="s">
        <v>418</v>
      </c>
      <c r="B107">
        <v>2009</v>
      </c>
      <c r="C107">
        <v>123</v>
      </c>
      <c r="D107" t="s">
        <v>14</v>
      </c>
      <c r="E107">
        <v>7</v>
      </c>
      <c r="F107" t="s">
        <v>419</v>
      </c>
      <c r="G107" s="2" t="s">
        <v>420</v>
      </c>
      <c r="H107" s="6" t="s">
        <v>421</v>
      </c>
    </row>
    <row r="108" spans="1:8" x14ac:dyDescent="0.25">
      <c r="A108" t="s">
        <v>422</v>
      </c>
      <c r="B108">
        <v>2008</v>
      </c>
      <c r="C108">
        <v>85</v>
      </c>
      <c r="D108" t="s">
        <v>62</v>
      </c>
      <c r="E108">
        <v>7</v>
      </c>
      <c r="F108" t="s">
        <v>392</v>
      </c>
      <c r="G108" s="2" t="s">
        <v>423</v>
      </c>
      <c r="H108" s="6" t="s">
        <v>424</v>
      </c>
    </row>
    <row r="109" spans="1:8" x14ac:dyDescent="0.25">
      <c r="A109" t="s">
        <v>425</v>
      </c>
      <c r="B109">
        <v>2011</v>
      </c>
      <c r="C109">
        <v>95</v>
      </c>
      <c r="D109" t="s">
        <v>14</v>
      </c>
      <c r="E109">
        <v>7</v>
      </c>
      <c r="F109" t="s">
        <v>426</v>
      </c>
      <c r="G109" s="2" t="s">
        <v>427</v>
      </c>
      <c r="H109" s="6" t="s">
        <v>428</v>
      </c>
    </row>
    <row r="110" spans="1:8" x14ac:dyDescent="0.25">
      <c r="A110" t="s">
        <v>429</v>
      </c>
      <c r="B110">
        <v>2017</v>
      </c>
      <c r="C110">
        <v>121</v>
      </c>
      <c r="D110" t="s">
        <v>42</v>
      </c>
      <c r="E110">
        <v>7</v>
      </c>
      <c r="F110" t="s">
        <v>430</v>
      </c>
      <c r="G110" s="2" t="s">
        <v>431</v>
      </c>
      <c r="H110" s="6" t="s">
        <v>432</v>
      </c>
    </row>
    <row r="111" spans="1:8" x14ac:dyDescent="0.25">
      <c r="A111" t="s">
        <v>433</v>
      </c>
      <c r="B111">
        <v>2013</v>
      </c>
      <c r="C111">
        <v>116</v>
      </c>
      <c r="D111" t="s">
        <v>62</v>
      </c>
      <c r="E111">
        <v>7</v>
      </c>
      <c r="F111" t="s">
        <v>434</v>
      </c>
      <c r="G111" s="2" t="s">
        <v>435</v>
      </c>
      <c r="H111" s="6" t="s">
        <v>436</v>
      </c>
    </row>
    <row r="112" spans="1:8" x14ac:dyDescent="0.25">
      <c r="A112" t="s">
        <v>437</v>
      </c>
      <c r="B112">
        <v>2005</v>
      </c>
      <c r="C112">
        <v>121</v>
      </c>
      <c r="D112" t="s">
        <v>438</v>
      </c>
      <c r="E112">
        <v>7</v>
      </c>
      <c r="F112" t="s">
        <v>330</v>
      </c>
      <c r="G112" s="2" t="s">
        <v>439</v>
      </c>
      <c r="H112" s="6" t="s">
        <v>440</v>
      </c>
    </row>
    <row r="113" spans="1:8" x14ac:dyDescent="0.25">
      <c r="A113" t="s">
        <v>441</v>
      </c>
      <c r="B113">
        <v>2000</v>
      </c>
      <c r="C113">
        <v>109</v>
      </c>
      <c r="D113" t="s">
        <v>325</v>
      </c>
      <c r="E113">
        <v>7</v>
      </c>
      <c r="F113" t="s">
        <v>442</v>
      </c>
      <c r="G113" s="2" t="s">
        <v>443</v>
      </c>
      <c r="H113" s="6" t="s">
        <v>444</v>
      </c>
    </row>
    <row r="114" spans="1:8" x14ac:dyDescent="0.25">
      <c r="A114" t="s">
        <v>445</v>
      </c>
      <c r="B114">
        <v>2012</v>
      </c>
      <c r="C114">
        <v>91</v>
      </c>
      <c r="D114" t="s">
        <v>446</v>
      </c>
      <c r="E114">
        <v>7</v>
      </c>
      <c r="F114" t="s">
        <v>447</v>
      </c>
      <c r="G114" s="2" t="s">
        <v>448</v>
      </c>
      <c r="H114" s="6" t="s">
        <v>449</v>
      </c>
    </row>
    <row r="115" spans="1:8" x14ac:dyDescent="0.25">
      <c r="A115" t="s">
        <v>450</v>
      </c>
      <c r="B115">
        <v>2008</v>
      </c>
      <c r="C115">
        <v>120</v>
      </c>
      <c r="D115" t="s">
        <v>451</v>
      </c>
      <c r="E115">
        <v>7</v>
      </c>
      <c r="F115" t="s">
        <v>236</v>
      </c>
      <c r="G115" s="2" t="s">
        <v>452</v>
      </c>
      <c r="H115" s="6" t="s">
        <v>453</v>
      </c>
    </row>
    <row r="116" spans="1:8" x14ac:dyDescent="0.25">
      <c r="A116" t="s">
        <v>454</v>
      </c>
      <c r="B116">
        <v>2015</v>
      </c>
      <c r="C116">
        <v>95</v>
      </c>
      <c r="D116" t="s">
        <v>35</v>
      </c>
      <c r="E116">
        <v>7</v>
      </c>
      <c r="F116" t="s">
        <v>455</v>
      </c>
      <c r="G116" s="2" t="s">
        <v>456</v>
      </c>
      <c r="H116" s="6" t="s">
        <v>306</v>
      </c>
    </row>
    <row r="117" spans="1:8" x14ac:dyDescent="0.25">
      <c r="A117" t="s">
        <v>457</v>
      </c>
      <c r="B117">
        <v>1985</v>
      </c>
      <c r="C117">
        <v>106</v>
      </c>
      <c r="D117" t="s">
        <v>48</v>
      </c>
      <c r="E117">
        <v>7</v>
      </c>
      <c r="F117" t="s">
        <v>458</v>
      </c>
      <c r="G117" s="3">
        <v>74547</v>
      </c>
      <c r="H117" s="6" t="s">
        <v>459</v>
      </c>
    </row>
    <row r="118" spans="1:8" x14ac:dyDescent="0.25">
      <c r="A118" t="s">
        <v>460</v>
      </c>
      <c r="B118">
        <v>2016</v>
      </c>
      <c r="C118">
        <v>99</v>
      </c>
      <c r="D118" t="s">
        <v>19</v>
      </c>
      <c r="E118">
        <v>7</v>
      </c>
      <c r="F118" t="s">
        <v>461</v>
      </c>
      <c r="G118" s="3">
        <v>83304</v>
      </c>
      <c r="H118" s="6" t="s">
        <v>462</v>
      </c>
    </row>
    <row r="119" spans="1:8" x14ac:dyDescent="0.25">
      <c r="A119" t="s">
        <v>463</v>
      </c>
      <c r="B119">
        <v>2001</v>
      </c>
      <c r="C119">
        <v>142</v>
      </c>
      <c r="D119" t="s">
        <v>307</v>
      </c>
      <c r="E119">
        <v>7</v>
      </c>
      <c r="F119" t="s">
        <v>464</v>
      </c>
      <c r="G119" s="3">
        <v>68793</v>
      </c>
      <c r="H119" s="6" t="s">
        <v>465</v>
      </c>
    </row>
    <row r="120" spans="1:8" x14ac:dyDescent="0.25">
      <c r="A120" t="s">
        <v>466</v>
      </c>
      <c r="B120">
        <v>2017</v>
      </c>
      <c r="C120">
        <v>116</v>
      </c>
      <c r="D120" t="s">
        <v>28</v>
      </c>
      <c r="E120">
        <v>7</v>
      </c>
      <c r="F120" t="s">
        <v>467</v>
      </c>
      <c r="G120" s="3">
        <v>34644</v>
      </c>
      <c r="H120" s="6" t="s">
        <v>141</v>
      </c>
    </row>
    <row r="121" spans="1:8" x14ac:dyDescent="0.25">
      <c r="A121" t="s">
        <v>468</v>
      </c>
      <c r="B121">
        <v>1986</v>
      </c>
      <c r="C121">
        <v>83</v>
      </c>
      <c r="D121" t="s">
        <v>342</v>
      </c>
      <c r="E121">
        <v>7</v>
      </c>
      <c r="F121" t="s">
        <v>469</v>
      </c>
      <c r="G121" s="3">
        <v>38529</v>
      </c>
      <c r="H121" s="6" t="s">
        <v>470</v>
      </c>
    </row>
    <row r="122" spans="1:8" x14ac:dyDescent="0.25">
      <c r="A122" t="s">
        <v>472</v>
      </c>
      <c r="B122">
        <v>2022</v>
      </c>
      <c r="C122">
        <v>126</v>
      </c>
      <c r="D122" t="s">
        <v>451</v>
      </c>
      <c r="E122">
        <v>6.9</v>
      </c>
      <c r="F122" t="s">
        <v>91</v>
      </c>
      <c r="G122" s="2" t="s">
        <v>473</v>
      </c>
      <c r="H122" s="6" t="s">
        <v>474</v>
      </c>
    </row>
    <row r="123" spans="1:8" x14ac:dyDescent="0.25">
      <c r="A123" t="s">
        <v>475</v>
      </c>
      <c r="B123">
        <v>2021</v>
      </c>
      <c r="C123">
        <v>103</v>
      </c>
      <c r="D123" t="s">
        <v>72</v>
      </c>
      <c r="E123">
        <v>6.9</v>
      </c>
      <c r="F123" t="s">
        <v>476</v>
      </c>
      <c r="G123" s="2" t="s">
        <v>477</v>
      </c>
      <c r="H123" s="6" t="s">
        <v>478</v>
      </c>
    </row>
    <row r="124" spans="1:8" x14ac:dyDescent="0.25">
      <c r="A124" t="s">
        <v>479</v>
      </c>
      <c r="B124">
        <v>2015</v>
      </c>
      <c r="C124">
        <v>92</v>
      </c>
      <c r="D124" t="s">
        <v>28</v>
      </c>
      <c r="E124">
        <v>6.9</v>
      </c>
      <c r="F124" t="s">
        <v>480</v>
      </c>
      <c r="G124" s="2" t="s">
        <v>481</v>
      </c>
      <c r="H124" s="6" t="s">
        <v>482</v>
      </c>
    </row>
    <row r="125" spans="1:8" x14ac:dyDescent="0.25">
      <c r="A125" t="s">
        <v>483</v>
      </c>
      <c r="B125">
        <v>2018</v>
      </c>
      <c r="C125">
        <v>97</v>
      </c>
      <c r="D125" t="s">
        <v>484</v>
      </c>
      <c r="E125">
        <v>6.9</v>
      </c>
      <c r="F125" t="s">
        <v>485</v>
      </c>
      <c r="G125" s="3">
        <v>73695</v>
      </c>
      <c r="H125" s="6" t="s">
        <v>486</v>
      </c>
    </row>
    <row r="126" spans="1:8" x14ac:dyDescent="0.25">
      <c r="A126" t="s">
        <v>487</v>
      </c>
      <c r="B126">
        <v>2007</v>
      </c>
      <c r="C126">
        <v>100</v>
      </c>
      <c r="D126" t="s">
        <v>62</v>
      </c>
      <c r="E126">
        <v>6.9</v>
      </c>
      <c r="F126" t="s">
        <v>488</v>
      </c>
      <c r="G126" s="2" t="s">
        <v>489</v>
      </c>
      <c r="H126" s="6" t="s">
        <v>490</v>
      </c>
    </row>
    <row r="127" spans="1:8" x14ac:dyDescent="0.25">
      <c r="A127" t="s">
        <v>491</v>
      </c>
      <c r="B127">
        <v>1993</v>
      </c>
      <c r="C127">
        <v>96</v>
      </c>
      <c r="D127" t="s">
        <v>492</v>
      </c>
      <c r="E127">
        <v>6.9</v>
      </c>
      <c r="F127" t="s">
        <v>493</v>
      </c>
      <c r="G127" s="2" t="s">
        <v>494</v>
      </c>
      <c r="H127" s="6" t="s">
        <v>495</v>
      </c>
    </row>
    <row r="128" spans="1:8" x14ac:dyDescent="0.25">
      <c r="A128" t="s">
        <v>496</v>
      </c>
      <c r="B128">
        <v>1987</v>
      </c>
      <c r="C128">
        <v>94</v>
      </c>
      <c r="D128" t="s">
        <v>72</v>
      </c>
      <c r="E128">
        <v>6.9</v>
      </c>
      <c r="F128" t="s">
        <v>497</v>
      </c>
      <c r="G128" s="2" t="s">
        <v>498</v>
      </c>
      <c r="H128" s="6" t="s">
        <v>499</v>
      </c>
    </row>
    <row r="129" spans="1:8" x14ac:dyDescent="0.25">
      <c r="A129" t="s">
        <v>500</v>
      </c>
      <c r="B129">
        <v>1987</v>
      </c>
      <c r="C129">
        <v>94</v>
      </c>
      <c r="D129" t="s">
        <v>30</v>
      </c>
      <c r="E129">
        <v>6.9</v>
      </c>
      <c r="F129" t="s">
        <v>501</v>
      </c>
      <c r="G129" s="3">
        <v>42670</v>
      </c>
      <c r="H129" s="6" t="s">
        <v>502</v>
      </c>
    </row>
    <row r="130" spans="1:8" x14ac:dyDescent="0.25">
      <c r="A130" t="s">
        <v>503</v>
      </c>
      <c r="B130">
        <v>1999</v>
      </c>
      <c r="C130">
        <v>101</v>
      </c>
      <c r="D130" t="s">
        <v>504</v>
      </c>
      <c r="E130">
        <v>6.9</v>
      </c>
      <c r="F130" t="s">
        <v>505</v>
      </c>
      <c r="G130" s="3">
        <v>41616</v>
      </c>
      <c r="H130" s="6" t="s">
        <v>506</v>
      </c>
    </row>
    <row r="131" spans="1:8" x14ac:dyDescent="0.25">
      <c r="A131" t="s">
        <v>507</v>
      </c>
      <c r="B131">
        <v>1980</v>
      </c>
      <c r="C131">
        <v>102</v>
      </c>
      <c r="D131" t="s">
        <v>344</v>
      </c>
      <c r="E131">
        <v>6.9</v>
      </c>
      <c r="F131" t="s">
        <v>508</v>
      </c>
      <c r="G131" s="3">
        <v>36892</v>
      </c>
      <c r="H131" s="6" t="s">
        <v>509</v>
      </c>
    </row>
    <row r="132" spans="1:8" x14ac:dyDescent="0.25">
      <c r="A132" t="s">
        <v>510</v>
      </c>
      <c r="B132">
        <v>1999</v>
      </c>
      <c r="C132">
        <v>99</v>
      </c>
      <c r="D132" t="s">
        <v>14</v>
      </c>
      <c r="E132">
        <v>6.9</v>
      </c>
      <c r="F132" t="s">
        <v>511</v>
      </c>
      <c r="G132" s="3">
        <v>84251</v>
      </c>
      <c r="H132" s="6" t="s">
        <v>512</v>
      </c>
    </row>
    <row r="133" spans="1:8" x14ac:dyDescent="0.25">
      <c r="A133" t="s">
        <v>513</v>
      </c>
      <c r="B133">
        <v>2002</v>
      </c>
      <c r="C133">
        <v>92</v>
      </c>
      <c r="D133" t="s">
        <v>187</v>
      </c>
      <c r="E133">
        <v>6.9</v>
      </c>
      <c r="F133" t="s">
        <v>514</v>
      </c>
      <c r="G133" s="3">
        <v>50182</v>
      </c>
      <c r="H133" s="6" t="s">
        <v>515</v>
      </c>
    </row>
    <row r="134" spans="1:8" x14ac:dyDescent="0.25">
      <c r="A134" t="s">
        <v>518</v>
      </c>
      <c r="B134">
        <v>1987</v>
      </c>
      <c r="C134">
        <v>79</v>
      </c>
      <c r="D134" t="s">
        <v>519</v>
      </c>
      <c r="E134">
        <v>6.9</v>
      </c>
      <c r="F134" t="s">
        <v>520</v>
      </c>
      <c r="G134" s="3">
        <v>33711</v>
      </c>
      <c r="H134" s="6" t="s">
        <v>521</v>
      </c>
    </row>
    <row r="135" spans="1:8" x14ac:dyDescent="0.25">
      <c r="A135" t="s">
        <v>522</v>
      </c>
      <c r="B135">
        <v>1954</v>
      </c>
      <c r="C135">
        <v>79</v>
      </c>
      <c r="D135" t="s">
        <v>9</v>
      </c>
      <c r="E135">
        <v>6.9</v>
      </c>
      <c r="F135" t="s">
        <v>523</v>
      </c>
      <c r="G135" s="3">
        <v>32344</v>
      </c>
      <c r="H135" s="6" t="s">
        <v>524</v>
      </c>
    </row>
    <row r="136" spans="1:8" x14ac:dyDescent="0.25">
      <c r="A136" t="s">
        <v>525</v>
      </c>
      <c r="B136">
        <v>2010</v>
      </c>
      <c r="C136">
        <v>103</v>
      </c>
      <c r="D136" t="s">
        <v>28</v>
      </c>
      <c r="E136">
        <v>6.9</v>
      </c>
      <c r="F136" t="s">
        <v>526</v>
      </c>
      <c r="G136" s="3">
        <v>77389</v>
      </c>
      <c r="H136" s="6" t="s">
        <v>527</v>
      </c>
    </row>
    <row r="137" spans="1:8" x14ac:dyDescent="0.25">
      <c r="A137" t="s">
        <v>528</v>
      </c>
      <c r="B137">
        <v>2000</v>
      </c>
      <c r="C137">
        <v>92</v>
      </c>
      <c r="D137" t="s">
        <v>19</v>
      </c>
      <c r="E137">
        <v>6.9</v>
      </c>
      <c r="F137" t="s">
        <v>529</v>
      </c>
      <c r="G137" s="3">
        <v>43072</v>
      </c>
      <c r="H137" s="6" t="s">
        <v>530</v>
      </c>
    </row>
    <row r="138" spans="1:8" x14ac:dyDescent="0.25">
      <c r="A138" t="s">
        <v>531</v>
      </c>
      <c r="B138">
        <v>2012</v>
      </c>
      <c r="C138">
        <v>87</v>
      </c>
      <c r="D138" t="s">
        <v>532</v>
      </c>
      <c r="E138">
        <v>6.9</v>
      </c>
      <c r="F138" t="s">
        <v>273</v>
      </c>
      <c r="G138" s="2" t="s">
        <v>533</v>
      </c>
      <c r="H138" s="6" t="s">
        <v>534</v>
      </c>
    </row>
    <row r="139" spans="1:8" x14ac:dyDescent="0.25">
      <c r="A139" t="s">
        <v>535</v>
      </c>
      <c r="B139">
        <v>2022</v>
      </c>
      <c r="C139">
        <v>130</v>
      </c>
      <c r="D139" t="s">
        <v>24</v>
      </c>
      <c r="E139">
        <v>6.8</v>
      </c>
      <c r="F139" t="s">
        <v>58</v>
      </c>
      <c r="G139" s="2" t="s">
        <v>536</v>
      </c>
      <c r="H139" s="6" t="s">
        <v>537</v>
      </c>
    </row>
    <row r="140" spans="1:8" x14ac:dyDescent="0.25">
      <c r="A140" t="s">
        <v>539</v>
      </c>
      <c r="B140">
        <v>2019</v>
      </c>
      <c r="C140">
        <v>95</v>
      </c>
      <c r="D140" t="s">
        <v>116</v>
      </c>
      <c r="E140">
        <v>6.8</v>
      </c>
      <c r="F140" t="s">
        <v>540</v>
      </c>
      <c r="G140" s="2" t="s">
        <v>541</v>
      </c>
      <c r="H140" s="6" t="s">
        <v>542</v>
      </c>
    </row>
    <row r="141" spans="1:8" x14ac:dyDescent="0.25">
      <c r="A141" t="s">
        <v>543</v>
      </c>
      <c r="B141">
        <v>2010</v>
      </c>
      <c r="C141">
        <v>103</v>
      </c>
      <c r="D141" t="s">
        <v>14</v>
      </c>
      <c r="E141">
        <v>6.8</v>
      </c>
      <c r="F141" t="s">
        <v>103</v>
      </c>
      <c r="G141" s="2" t="s">
        <v>544</v>
      </c>
      <c r="H141" s="6" t="s">
        <v>545</v>
      </c>
    </row>
    <row r="142" spans="1:8" x14ac:dyDescent="0.25">
      <c r="A142" t="s">
        <v>546</v>
      </c>
      <c r="B142">
        <v>2014</v>
      </c>
      <c r="C142">
        <v>100</v>
      </c>
      <c r="D142" t="s">
        <v>14</v>
      </c>
      <c r="E142">
        <v>6.8</v>
      </c>
      <c r="F142" t="s">
        <v>547</v>
      </c>
      <c r="G142" s="2" t="s">
        <v>548</v>
      </c>
      <c r="H142" s="6" t="s">
        <v>549</v>
      </c>
    </row>
    <row r="143" spans="1:8" x14ac:dyDescent="0.25">
      <c r="A143" t="s">
        <v>550</v>
      </c>
      <c r="B143">
        <v>2018</v>
      </c>
      <c r="C143">
        <v>115</v>
      </c>
      <c r="D143" t="s">
        <v>504</v>
      </c>
      <c r="E143">
        <v>6.8</v>
      </c>
      <c r="F143" t="s">
        <v>551</v>
      </c>
      <c r="G143" s="2" t="s">
        <v>552</v>
      </c>
      <c r="H143" s="6" t="s">
        <v>553</v>
      </c>
    </row>
    <row r="144" spans="1:8" x14ac:dyDescent="0.25">
      <c r="A144" t="s">
        <v>554</v>
      </c>
      <c r="B144">
        <v>2012</v>
      </c>
      <c r="C144">
        <v>110</v>
      </c>
      <c r="D144" t="s">
        <v>14</v>
      </c>
      <c r="E144">
        <v>6.8</v>
      </c>
      <c r="F144" t="s">
        <v>476</v>
      </c>
      <c r="G144" s="2" t="s">
        <v>555</v>
      </c>
      <c r="H144" s="6" t="s">
        <v>556</v>
      </c>
    </row>
    <row r="145" spans="1:8" x14ac:dyDescent="0.25">
      <c r="A145" t="s">
        <v>557</v>
      </c>
      <c r="B145">
        <v>2019</v>
      </c>
      <c r="C145">
        <v>116</v>
      </c>
      <c r="D145" t="s">
        <v>14</v>
      </c>
      <c r="E145">
        <v>6.8</v>
      </c>
      <c r="F145" t="s">
        <v>58</v>
      </c>
      <c r="G145" s="2" t="s">
        <v>558</v>
      </c>
      <c r="H145" s="6" t="s">
        <v>559</v>
      </c>
    </row>
    <row r="146" spans="1:8" x14ac:dyDescent="0.25">
      <c r="A146" t="s">
        <v>560</v>
      </c>
      <c r="B146">
        <v>2018</v>
      </c>
      <c r="C146">
        <v>152</v>
      </c>
      <c r="D146" t="s">
        <v>35</v>
      </c>
      <c r="E146">
        <v>6.8</v>
      </c>
      <c r="F146" t="s">
        <v>561</v>
      </c>
      <c r="G146" s="3">
        <v>83053</v>
      </c>
      <c r="H146" s="6" t="s">
        <v>78</v>
      </c>
    </row>
    <row r="147" spans="1:8" x14ac:dyDescent="0.25">
      <c r="A147" t="s">
        <v>562</v>
      </c>
      <c r="B147">
        <v>2014</v>
      </c>
      <c r="C147">
        <v>94</v>
      </c>
      <c r="D147" t="s">
        <v>178</v>
      </c>
      <c r="E147">
        <v>6.8</v>
      </c>
      <c r="F147" t="s">
        <v>563</v>
      </c>
      <c r="G147" s="2" t="s">
        <v>564</v>
      </c>
      <c r="H147" s="6" t="s">
        <v>565</v>
      </c>
    </row>
    <row r="148" spans="1:8" x14ac:dyDescent="0.25">
      <c r="A148" t="s">
        <v>566</v>
      </c>
      <c r="B148">
        <v>2016</v>
      </c>
      <c r="C148">
        <v>86</v>
      </c>
      <c r="D148" t="s">
        <v>14</v>
      </c>
      <c r="E148">
        <v>6.8</v>
      </c>
      <c r="F148" t="s">
        <v>526</v>
      </c>
      <c r="G148" s="2" t="s">
        <v>567</v>
      </c>
      <c r="H148" s="6" t="s">
        <v>568</v>
      </c>
    </row>
    <row r="149" spans="1:8" x14ac:dyDescent="0.25">
      <c r="A149" t="s">
        <v>569</v>
      </c>
      <c r="B149">
        <v>2013</v>
      </c>
      <c r="C149">
        <v>98</v>
      </c>
      <c r="D149" t="s">
        <v>570</v>
      </c>
      <c r="E149">
        <v>6.8</v>
      </c>
      <c r="F149" t="s">
        <v>571</v>
      </c>
      <c r="G149" s="2" t="s">
        <v>572</v>
      </c>
      <c r="H149" s="6" t="s">
        <v>573</v>
      </c>
    </row>
    <row r="150" spans="1:8" x14ac:dyDescent="0.25">
      <c r="A150" t="s">
        <v>574</v>
      </c>
      <c r="B150">
        <v>2004</v>
      </c>
      <c r="C150">
        <v>122</v>
      </c>
      <c r="D150" t="s">
        <v>451</v>
      </c>
      <c r="E150">
        <v>6.8</v>
      </c>
      <c r="F150" t="s">
        <v>236</v>
      </c>
      <c r="G150" s="2" t="s">
        <v>575</v>
      </c>
      <c r="H150" s="6" t="s">
        <v>576</v>
      </c>
    </row>
    <row r="151" spans="1:8" x14ac:dyDescent="0.25">
      <c r="A151">
        <v>1408</v>
      </c>
      <c r="B151">
        <v>2007</v>
      </c>
      <c r="C151">
        <v>104</v>
      </c>
      <c r="D151" t="s">
        <v>284</v>
      </c>
      <c r="E151">
        <v>6.8</v>
      </c>
      <c r="F151" t="s">
        <v>578</v>
      </c>
      <c r="G151" s="2" t="s">
        <v>579</v>
      </c>
      <c r="H151" s="6" t="s">
        <v>580</v>
      </c>
    </row>
    <row r="152" spans="1:8" x14ac:dyDescent="0.25">
      <c r="A152" t="s">
        <v>581</v>
      </c>
      <c r="B152">
        <v>1980</v>
      </c>
      <c r="C152">
        <v>89</v>
      </c>
      <c r="D152" t="s">
        <v>72</v>
      </c>
      <c r="E152">
        <v>6.8</v>
      </c>
      <c r="F152" t="s">
        <v>25</v>
      </c>
      <c r="G152" s="3">
        <v>78302</v>
      </c>
      <c r="H152" s="6" t="s">
        <v>582</v>
      </c>
    </row>
    <row r="153" spans="1:8" x14ac:dyDescent="0.25">
      <c r="A153" t="s">
        <v>583</v>
      </c>
      <c r="B153">
        <v>1982</v>
      </c>
      <c r="C153">
        <v>120</v>
      </c>
      <c r="D153" t="s">
        <v>187</v>
      </c>
      <c r="E153">
        <v>6.8</v>
      </c>
      <c r="F153" t="s">
        <v>73</v>
      </c>
      <c r="G153" s="3">
        <v>50496</v>
      </c>
      <c r="H153" s="6" t="s">
        <v>584</v>
      </c>
    </row>
    <row r="154" spans="1:8" x14ac:dyDescent="0.25">
      <c r="A154" t="s">
        <v>585</v>
      </c>
      <c r="B154">
        <v>2000</v>
      </c>
      <c r="C154">
        <v>108</v>
      </c>
      <c r="D154" t="s">
        <v>28</v>
      </c>
      <c r="E154">
        <v>6.8</v>
      </c>
      <c r="F154" t="s">
        <v>586</v>
      </c>
      <c r="G154" s="3">
        <v>49563</v>
      </c>
      <c r="H154" s="6" t="s">
        <v>587</v>
      </c>
    </row>
    <row r="155" spans="1:8" x14ac:dyDescent="0.25">
      <c r="A155" t="s">
        <v>588</v>
      </c>
      <c r="B155">
        <v>1990</v>
      </c>
      <c r="C155">
        <v>91</v>
      </c>
      <c r="D155" t="s">
        <v>589</v>
      </c>
      <c r="E155">
        <v>6.8</v>
      </c>
      <c r="F155" t="s">
        <v>389</v>
      </c>
      <c r="G155" s="3">
        <v>52433</v>
      </c>
      <c r="H155" s="6" t="s">
        <v>590</v>
      </c>
    </row>
    <row r="156" spans="1:8" x14ac:dyDescent="0.25">
      <c r="A156" t="s">
        <v>591</v>
      </c>
      <c r="B156">
        <v>1999</v>
      </c>
      <c r="C156">
        <v>97</v>
      </c>
      <c r="D156" t="s">
        <v>24</v>
      </c>
      <c r="E156">
        <v>6.8</v>
      </c>
      <c r="F156" t="s">
        <v>112</v>
      </c>
      <c r="G156" s="2" t="s">
        <v>592</v>
      </c>
      <c r="H156" s="6" t="s">
        <v>593</v>
      </c>
    </row>
    <row r="157" spans="1:8" x14ac:dyDescent="0.25">
      <c r="A157" t="s">
        <v>594</v>
      </c>
      <c r="B157">
        <v>1989</v>
      </c>
      <c r="C157">
        <v>96</v>
      </c>
      <c r="D157" t="s">
        <v>72</v>
      </c>
      <c r="E157">
        <v>6.8</v>
      </c>
      <c r="F157" t="s">
        <v>595</v>
      </c>
      <c r="G157" s="3">
        <v>42222</v>
      </c>
      <c r="H157" s="6" t="s">
        <v>596</v>
      </c>
    </row>
    <row r="158" spans="1:8" x14ac:dyDescent="0.25">
      <c r="A158" t="s">
        <v>597</v>
      </c>
      <c r="B158">
        <v>2016</v>
      </c>
      <c r="C158">
        <v>120</v>
      </c>
      <c r="D158" t="s">
        <v>329</v>
      </c>
      <c r="E158">
        <v>6.8</v>
      </c>
      <c r="F158" t="s">
        <v>598</v>
      </c>
      <c r="G158" s="3">
        <v>29845</v>
      </c>
      <c r="H158" s="6" t="s">
        <v>599</v>
      </c>
    </row>
    <row r="159" spans="1:8" x14ac:dyDescent="0.25">
      <c r="A159" t="s">
        <v>76</v>
      </c>
      <c r="B159">
        <v>1990</v>
      </c>
      <c r="C159">
        <v>92</v>
      </c>
      <c r="D159" t="s">
        <v>30</v>
      </c>
      <c r="E159">
        <v>6.8</v>
      </c>
      <c r="F159" t="s">
        <v>600</v>
      </c>
      <c r="G159" s="3">
        <v>43906</v>
      </c>
      <c r="H159" s="6" t="s">
        <v>601</v>
      </c>
    </row>
    <row r="160" spans="1:8" x14ac:dyDescent="0.25">
      <c r="A160" t="s">
        <v>604</v>
      </c>
      <c r="B160">
        <v>2016</v>
      </c>
      <c r="C160">
        <v>84</v>
      </c>
      <c r="D160" t="s">
        <v>28</v>
      </c>
      <c r="E160">
        <v>6.8</v>
      </c>
      <c r="F160" t="s">
        <v>605</v>
      </c>
      <c r="G160" s="3">
        <v>28891</v>
      </c>
      <c r="H160" s="6" t="s">
        <v>606</v>
      </c>
    </row>
    <row r="161" spans="1:8" x14ac:dyDescent="0.25">
      <c r="A161" t="s">
        <v>608</v>
      </c>
      <c r="B161">
        <v>2018</v>
      </c>
      <c r="C161">
        <v>152</v>
      </c>
      <c r="D161" t="s">
        <v>28</v>
      </c>
      <c r="E161">
        <v>6.7</v>
      </c>
      <c r="F161" t="s">
        <v>538</v>
      </c>
      <c r="G161" s="3">
        <v>84786</v>
      </c>
      <c r="H161" s="6" t="s">
        <v>609</v>
      </c>
    </row>
    <row r="162" spans="1:8" x14ac:dyDescent="0.25">
      <c r="A162" t="s">
        <v>610</v>
      </c>
      <c r="B162">
        <v>2008</v>
      </c>
      <c r="C162">
        <v>91</v>
      </c>
      <c r="D162" t="s">
        <v>72</v>
      </c>
      <c r="E162">
        <v>6.7</v>
      </c>
      <c r="F162" t="s">
        <v>611</v>
      </c>
      <c r="G162" s="3">
        <v>89408</v>
      </c>
      <c r="H162" s="6" t="s">
        <v>568</v>
      </c>
    </row>
    <row r="163" spans="1:8" x14ac:dyDescent="0.25">
      <c r="A163" t="s">
        <v>612</v>
      </c>
      <c r="B163">
        <v>2000</v>
      </c>
      <c r="C163">
        <v>98</v>
      </c>
      <c r="D163" t="s">
        <v>72</v>
      </c>
      <c r="E163">
        <v>6.7</v>
      </c>
      <c r="F163" t="s">
        <v>613</v>
      </c>
      <c r="G163" s="2" t="s">
        <v>614</v>
      </c>
      <c r="H163" s="6" t="s">
        <v>615</v>
      </c>
    </row>
    <row r="164" spans="1:8" x14ac:dyDescent="0.25">
      <c r="A164" t="s">
        <v>616</v>
      </c>
      <c r="B164">
        <v>2019</v>
      </c>
      <c r="C164">
        <v>99</v>
      </c>
      <c r="D164" t="s">
        <v>116</v>
      </c>
      <c r="E164">
        <v>6.7</v>
      </c>
      <c r="F164" t="s">
        <v>117</v>
      </c>
      <c r="G164" s="2" t="s">
        <v>617</v>
      </c>
      <c r="H164" s="6" t="s">
        <v>618</v>
      </c>
    </row>
    <row r="165" spans="1:8" x14ac:dyDescent="0.25">
      <c r="A165" t="s">
        <v>619</v>
      </c>
      <c r="B165">
        <v>2005</v>
      </c>
      <c r="C165">
        <v>107</v>
      </c>
      <c r="D165" t="s">
        <v>620</v>
      </c>
      <c r="E165">
        <v>6.7</v>
      </c>
      <c r="F165" t="s">
        <v>621</v>
      </c>
      <c r="G165" s="2" t="s">
        <v>622</v>
      </c>
      <c r="H165" s="6" t="s">
        <v>623</v>
      </c>
    </row>
    <row r="166" spans="1:8" x14ac:dyDescent="0.25">
      <c r="A166" t="s">
        <v>624</v>
      </c>
      <c r="B166">
        <v>2009</v>
      </c>
      <c r="C166">
        <v>108</v>
      </c>
      <c r="D166" t="s">
        <v>625</v>
      </c>
      <c r="E166">
        <v>6.7</v>
      </c>
      <c r="F166" t="s">
        <v>626</v>
      </c>
      <c r="G166" s="2" t="s">
        <v>627</v>
      </c>
      <c r="H166" s="6" t="s">
        <v>628</v>
      </c>
    </row>
    <row r="167" spans="1:8" x14ac:dyDescent="0.25">
      <c r="A167" t="s">
        <v>629</v>
      </c>
      <c r="B167">
        <v>1983</v>
      </c>
      <c r="C167">
        <v>110</v>
      </c>
      <c r="D167" t="s">
        <v>72</v>
      </c>
      <c r="E167">
        <v>6.7</v>
      </c>
      <c r="F167" t="s">
        <v>25</v>
      </c>
      <c r="G167" s="3">
        <v>87453</v>
      </c>
      <c r="H167" s="6" t="s">
        <v>630</v>
      </c>
    </row>
    <row r="168" spans="1:8" x14ac:dyDescent="0.25">
      <c r="A168" t="s">
        <v>631</v>
      </c>
      <c r="B168">
        <v>2017</v>
      </c>
      <c r="C168">
        <v>110</v>
      </c>
      <c r="D168" t="s">
        <v>504</v>
      </c>
      <c r="E168">
        <v>6.7</v>
      </c>
      <c r="F168" t="s">
        <v>632</v>
      </c>
      <c r="G168" s="3">
        <v>35303</v>
      </c>
      <c r="H168" s="6" t="s">
        <v>587</v>
      </c>
    </row>
    <row r="169" spans="1:8" x14ac:dyDescent="0.25">
      <c r="A169" t="s">
        <v>633</v>
      </c>
      <c r="B169">
        <v>2000</v>
      </c>
      <c r="C169">
        <v>111</v>
      </c>
      <c r="D169" t="s">
        <v>28</v>
      </c>
      <c r="E169">
        <v>6.7</v>
      </c>
      <c r="F169" t="s">
        <v>91</v>
      </c>
      <c r="G169" s="3">
        <v>72059</v>
      </c>
      <c r="H169" s="6" t="s">
        <v>634</v>
      </c>
    </row>
    <row r="170" spans="1:8" x14ac:dyDescent="0.25">
      <c r="A170" t="s">
        <v>635</v>
      </c>
      <c r="B170">
        <v>2002</v>
      </c>
      <c r="C170">
        <v>117</v>
      </c>
      <c r="D170" t="s">
        <v>325</v>
      </c>
      <c r="E170">
        <v>6.7</v>
      </c>
      <c r="F170" t="s">
        <v>236</v>
      </c>
      <c r="G170" s="2" t="s">
        <v>636</v>
      </c>
      <c r="H170" s="6" t="s">
        <v>637</v>
      </c>
    </row>
    <row r="171" spans="1:8" x14ac:dyDescent="0.25">
      <c r="A171" t="s">
        <v>638</v>
      </c>
      <c r="B171">
        <v>2003</v>
      </c>
      <c r="C171">
        <v>91</v>
      </c>
      <c r="D171" t="s">
        <v>30</v>
      </c>
      <c r="E171">
        <v>6.7</v>
      </c>
      <c r="F171" t="s">
        <v>639</v>
      </c>
      <c r="G171" s="3">
        <v>74795</v>
      </c>
      <c r="H171" s="6" t="s">
        <v>640</v>
      </c>
    </row>
    <row r="172" spans="1:8" x14ac:dyDescent="0.25">
      <c r="A172" t="s">
        <v>641</v>
      </c>
      <c r="B172">
        <v>1992</v>
      </c>
      <c r="C172">
        <v>99</v>
      </c>
      <c r="D172" t="s">
        <v>72</v>
      </c>
      <c r="E172">
        <v>6.7</v>
      </c>
      <c r="F172" t="s">
        <v>642</v>
      </c>
      <c r="G172" s="3">
        <v>95591</v>
      </c>
      <c r="H172" s="6" t="s">
        <v>643</v>
      </c>
    </row>
    <row r="173" spans="1:8" x14ac:dyDescent="0.25">
      <c r="A173" t="s">
        <v>644</v>
      </c>
      <c r="B173">
        <v>2001</v>
      </c>
      <c r="C173">
        <v>122</v>
      </c>
      <c r="D173" t="s">
        <v>14</v>
      </c>
      <c r="E173">
        <v>6.7</v>
      </c>
      <c r="F173" t="s">
        <v>645</v>
      </c>
      <c r="G173" s="2" t="s">
        <v>646</v>
      </c>
      <c r="H173" s="6" t="s">
        <v>647</v>
      </c>
    </row>
    <row r="174" spans="1:8" x14ac:dyDescent="0.25">
      <c r="A174" t="s">
        <v>649</v>
      </c>
      <c r="B174">
        <v>1981</v>
      </c>
      <c r="C174">
        <v>103</v>
      </c>
      <c r="D174" t="s">
        <v>344</v>
      </c>
      <c r="E174">
        <v>6.7</v>
      </c>
      <c r="F174" t="s">
        <v>112</v>
      </c>
      <c r="G174" s="3">
        <v>58736</v>
      </c>
      <c r="H174" s="6" t="s">
        <v>650</v>
      </c>
    </row>
    <row r="175" spans="1:8" x14ac:dyDescent="0.25">
      <c r="A175" t="s">
        <v>651</v>
      </c>
      <c r="B175">
        <v>2005</v>
      </c>
      <c r="C175">
        <v>119</v>
      </c>
      <c r="D175" t="s">
        <v>39</v>
      </c>
      <c r="E175">
        <v>6.7</v>
      </c>
      <c r="F175" t="s">
        <v>476</v>
      </c>
      <c r="G175" s="2" t="s">
        <v>652</v>
      </c>
      <c r="H175" s="6" t="s">
        <v>653</v>
      </c>
    </row>
    <row r="176" spans="1:8" x14ac:dyDescent="0.25">
      <c r="A176" t="s">
        <v>654</v>
      </c>
      <c r="B176">
        <v>2018</v>
      </c>
      <c r="C176">
        <v>105</v>
      </c>
      <c r="D176" t="s">
        <v>42</v>
      </c>
      <c r="E176">
        <v>6.7</v>
      </c>
      <c r="F176" t="s">
        <v>655</v>
      </c>
      <c r="G176" s="3">
        <v>43321</v>
      </c>
      <c r="H176" s="6" t="s">
        <v>78</v>
      </c>
    </row>
    <row r="177" spans="1:8" x14ac:dyDescent="0.25">
      <c r="A177" t="s">
        <v>657</v>
      </c>
      <c r="B177">
        <v>2009</v>
      </c>
      <c r="C177">
        <v>101</v>
      </c>
      <c r="D177" t="s">
        <v>658</v>
      </c>
      <c r="E177">
        <v>6.7</v>
      </c>
      <c r="F177" t="s">
        <v>659</v>
      </c>
      <c r="G177" s="2" t="s">
        <v>660</v>
      </c>
      <c r="H177" s="6" t="s">
        <v>661</v>
      </c>
    </row>
    <row r="178" spans="1:8" x14ac:dyDescent="0.25">
      <c r="A178" t="s">
        <v>662</v>
      </c>
      <c r="B178">
        <v>2014</v>
      </c>
      <c r="C178">
        <v>99</v>
      </c>
      <c r="D178" t="s">
        <v>14</v>
      </c>
      <c r="E178">
        <v>6.7</v>
      </c>
      <c r="F178" t="s">
        <v>663</v>
      </c>
      <c r="G178" s="3">
        <v>57113</v>
      </c>
      <c r="H178" s="6" t="s">
        <v>664</v>
      </c>
    </row>
    <row r="179" spans="1:8" x14ac:dyDescent="0.25">
      <c r="A179" t="s">
        <v>665</v>
      </c>
      <c r="B179">
        <v>2014</v>
      </c>
      <c r="C179">
        <v>109</v>
      </c>
      <c r="D179" t="s">
        <v>666</v>
      </c>
      <c r="E179">
        <v>6.7</v>
      </c>
      <c r="F179" t="s">
        <v>667</v>
      </c>
      <c r="G179" s="3">
        <v>29941</v>
      </c>
      <c r="H179" s="6" t="s">
        <v>137</v>
      </c>
    </row>
    <row r="180" spans="1:8" x14ac:dyDescent="0.25">
      <c r="A180" t="s">
        <v>668</v>
      </c>
      <c r="B180">
        <v>1995</v>
      </c>
      <c r="C180">
        <v>92</v>
      </c>
      <c r="D180" t="s">
        <v>438</v>
      </c>
      <c r="E180">
        <v>6.7</v>
      </c>
      <c r="F180" t="s">
        <v>669</v>
      </c>
      <c r="G180" s="3">
        <v>25144</v>
      </c>
      <c r="H180" s="6" t="s">
        <v>670</v>
      </c>
    </row>
    <row r="181" spans="1:8" x14ac:dyDescent="0.25">
      <c r="A181" t="s">
        <v>671</v>
      </c>
      <c r="B181">
        <v>2002</v>
      </c>
      <c r="C181">
        <v>92</v>
      </c>
      <c r="D181" t="s">
        <v>30</v>
      </c>
      <c r="E181">
        <v>6.7</v>
      </c>
      <c r="F181" t="s">
        <v>672</v>
      </c>
      <c r="G181" s="3">
        <v>46324</v>
      </c>
      <c r="H181" s="6" t="s">
        <v>673</v>
      </c>
    </row>
    <row r="182" spans="1:8" x14ac:dyDescent="0.25">
      <c r="A182" t="s">
        <v>674</v>
      </c>
      <c r="B182">
        <v>2015</v>
      </c>
      <c r="C182">
        <v>93</v>
      </c>
      <c r="D182" t="s">
        <v>675</v>
      </c>
      <c r="E182">
        <v>6.7</v>
      </c>
      <c r="F182" t="s">
        <v>655</v>
      </c>
      <c r="G182" s="3">
        <v>28926</v>
      </c>
      <c r="H182" s="6" t="s">
        <v>137</v>
      </c>
    </row>
    <row r="183" spans="1:8" x14ac:dyDescent="0.25">
      <c r="A183" t="s">
        <v>676</v>
      </c>
      <c r="B183">
        <v>1992</v>
      </c>
      <c r="C183">
        <v>94</v>
      </c>
      <c r="D183" t="s">
        <v>28</v>
      </c>
      <c r="E183">
        <v>6.7</v>
      </c>
      <c r="F183" t="s">
        <v>236</v>
      </c>
      <c r="G183" s="3">
        <v>31873</v>
      </c>
      <c r="H183" s="6" t="s">
        <v>677</v>
      </c>
    </row>
    <row r="184" spans="1:8" x14ac:dyDescent="0.25">
      <c r="A184" t="s">
        <v>680</v>
      </c>
      <c r="B184">
        <v>2006</v>
      </c>
      <c r="C184">
        <v>93</v>
      </c>
      <c r="D184" t="s">
        <v>142</v>
      </c>
      <c r="E184">
        <v>6.7</v>
      </c>
      <c r="F184" t="s">
        <v>681</v>
      </c>
      <c r="G184" s="3">
        <v>29699</v>
      </c>
      <c r="H184" s="6" t="s">
        <v>416</v>
      </c>
    </row>
    <row r="185" spans="1:8" x14ac:dyDescent="0.25">
      <c r="A185" t="s">
        <v>682</v>
      </c>
      <c r="B185">
        <v>2017</v>
      </c>
      <c r="C185">
        <v>121</v>
      </c>
      <c r="D185" t="s">
        <v>42</v>
      </c>
      <c r="E185">
        <v>6.6</v>
      </c>
      <c r="F185" t="s">
        <v>304</v>
      </c>
      <c r="G185" s="2" t="s">
        <v>683</v>
      </c>
      <c r="H185" s="6" t="s">
        <v>684</v>
      </c>
    </row>
    <row r="186" spans="1:8" x14ac:dyDescent="0.25">
      <c r="A186" t="s">
        <v>685</v>
      </c>
      <c r="B186">
        <v>1997</v>
      </c>
      <c r="C186">
        <v>96</v>
      </c>
      <c r="D186" t="s">
        <v>344</v>
      </c>
      <c r="E186">
        <v>6.6</v>
      </c>
      <c r="F186" t="s">
        <v>686</v>
      </c>
      <c r="G186" s="2" t="s">
        <v>687</v>
      </c>
      <c r="H186" s="6" t="s">
        <v>688</v>
      </c>
    </row>
    <row r="187" spans="1:8" x14ac:dyDescent="0.25">
      <c r="A187" t="s">
        <v>689</v>
      </c>
      <c r="B187">
        <v>2017</v>
      </c>
      <c r="C187">
        <v>104</v>
      </c>
      <c r="D187" t="s">
        <v>344</v>
      </c>
      <c r="E187">
        <v>6.6</v>
      </c>
      <c r="F187" t="s">
        <v>690</v>
      </c>
      <c r="G187" s="2" t="s">
        <v>691</v>
      </c>
      <c r="H187" s="6" t="s">
        <v>692</v>
      </c>
    </row>
    <row r="188" spans="1:8" x14ac:dyDescent="0.25">
      <c r="A188" t="s">
        <v>693</v>
      </c>
      <c r="B188">
        <v>2002</v>
      </c>
      <c r="C188">
        <v>100</v>
      </c>
      <c r="D188" t="s">
        <v>325</v>
      </c>
      <c r="E188">
        <v>6.6</v>
      </c>
      <c r="F188" t="s">
        <v>686</v>
      </c>
      <c r="G188" s="2" t="s">
        <v>694</v>
      </c>
      <c r="H188" s="6" t="s">
        <v>695</v>
      </c>
    </row>
    <row r="189" spans="1:8" x14ac:dyDescent="0.25">
      <c r="A189" t="s">
        <v>696</v>
      </c>
      <c r="B189">
        <v>2011</v>
      </c>
      <c r="C189">
        <v>95</v>
      </c>
      <c r="D189" t="s">
        <v>72</v>
      </c>
      <c r="E189">
        <v>6.6</v>
      </c>
      <c r="F189" t="s">
        <v>697</v>
      </c>
      <c r="G189" s="2" t="s">
        <v>698</v>
      </c>
      <c r="H189" s="6" t="s">
        <v>699</v>
      </c>
    </row>
    <row r="190" spans="1:8" x14ac:dyDescent="0.25">
      <c r="A190" t="s">
        <v>700</v>
      </c>
      <c r="B190">
        <v>1998</v>
      </c>
      <c r="C190">
        <v>104</v>
      </c>
      <c r="D190" t="s">
        <v>24</v>
      </c>
      <c r="E190">
        <v>6.6</v>
      </c>
      <c r="F190" t="s">
        <v>183</v>
      </c>
      <c r="G190" s="2" t="s">
        <v>701</v>
      </c>
      <c r="H190" s="6" t="s">
        <v>702</v>
      </c>
    </row>
    <row r="191" spans="1:8" x14ac:dyDescent="0.25">
      <c r="A191" t="s">
        <v>703</v>
      </c>
      <c r="B191">
        <v>2019</v>
      </c>
      <c r="C191">
        <v>129</v>
      </c>
      <c r="D191" t="s">
        <v>83</v>
      </c>
      <c r="E191">
        <v>6.6</v>
      </c>
      <c r="F191" t="s">
        <v>254</v>
      </c>
      <c r="G191" s="2" t="s">
        <v>704</v>
      </c>
      <c r="H191" s="6" t="s">
        <v>705</v>
      </c>
    </row>
    <row r="192" spans="1:8" x14ac:dyDescent="0.25">
      <c r="A192" t="s">
        <v>706</v>
      </c>
      <c r="B192">
        <v>2009</v>
      </c>
      <c r="C192">
        <v>99</v>
      </c>
      <c r="D192" t="s">
        <v>30</v>
      </c>
      <c r="E192">
        <v>6.6</v>
      </c>
      <c r="F192" t="s">
        <v>91</v>
      </c>
      <c r="G192" s="2" t="s">
        <v>707</v>
      </c>
      <c r="H192" s="6" t="s">
        <v>708</v>
      </c>
    </row>
    <row r="193" spans="1:8" x14ac:dyDescent="0.25">
      <c r="A193" t="s">
        <v>709</v>
      </c>
      <c r="B193">
        <v>2007</v>
      </c>
      <c r="C193">
        <v>113</v>
      </c>
      <c r="D193" t="s">
        <v>62</v>
      </c>
      <c r="E193">
        <v>6.6</v>
      </c>
      <c r="F193" t="s">
        <v>710</v>
      </c>
      <c r="G193" s="2" t="s">
        <v>711</v>
      </c>
      <c r="H193" s="6" t="s">
        <v>712</v>
      </c>
    </row>
    <row r="194" spans="1:8" x14ac:dyDescent="0.25">
      <c r="A194" t="s">
        <v>713</v>
      </c>
      <c r="B194">
        <v>2000</v>
      </c>
      <c r="C194">
        <v>130</v>
      </c>
      <c r="D194" t="s">
        <v>42</v>
      </c>
      <c r="E194">
        <v>6.6</v>
      </c>
      <c r="F194" t="s">
        <v>714</v>
      </c>
      <c r="G194" s="2" t="s">
        <v>715</v>
      </c>
      <c r="H194" s="6" t="s">
        <v>716</v>
      </c>
    </row>
    <row r="195" spans="1:8" x14ac:dyDescent="0.25">
      <c r="A195" t="s">
        <v>717</v>
      </c>
      <c r="B195">
        <v>1992</v>
      </c>
      <c r="C195">
        <v>104</v>
      </c>
      <c r="D195" t="s">
        <v>187</v>
      </c>
      <c r="E195">
        <v>6.6</v>
      </c>
      <c r="F195" t="s">
        <v>714</v>
      </c>
      <c r="G195" s="2" t="s">
        <v>718</v>
      </c>
      <c r="H195" s="6" t="s">
        <v>719</v>
      </c>
    </row>
    <row r="196" spans="1:8" x14ac:dyDescent="0.25">
      <c r="A196" t="s">
        <v>720</v>
      </c>
      <c r="B196">
        <v>1988</v>
      </c>
      <c r="C196">
        <v>87</v>
      </c>
      <c r="D196" t="s">
        <v>72</v>
      </c>
      <c r="E196">
        <v>6.6</v>
      </c>
      <c r="F196" t="s">
        <v>458</v>
      </c>
      <c r="G196" s="2" t="s">
        <v>721</v>
      </c>
      <c r="H196" s="6" t="s">
        <v>722</v>
      </c>
    </row>
    <row r="197" spans="1:8" x14ac:dyDescent="0.25">
      <c r="A197" t="s">
        <v>723</v>
      </c>
      <c r="B197">
        <v>2015</v>
      </c>
      <c r="C197">
        <v>100</v>
      </c>
      <c r="D197" t="s">
        <v>42</v>
      </c>
      <c r="E197">
        <v>6.6</v>
      </c>
      <c r="F197" t="s">
        <v>724</v>
      </c>
      <c r="G197" s="2" t="s">
        <v>725</v>
      </c>
      <c r="H197" s="6" t="s">
        <v>726</v>
      </c>
    </row>
    <row r="198" spans="1:8" x14ac:dyDescent="0.25">
      <c r="A198" t="s">
        <v>727</v>
      </c>
      <c r="B198">
        <v>2017</v>
      </c>
      <c r="C198">
        <v>96</v>
      </c>
      <c r="D198" t="s">
        <v>242</v>
      </c>
      <c r="E198">
        <v>6.6</v>
      </c>
      <c r="F198" t="s">
        <v>728</v>
      </c>
      <c r="G198" s="2" t="s">
        <v>729</v>
      </c>
      <c r="H198" s="6" t="s">
        <v>730</v>
      </c>
    </row>
    <row r="199" spans="1:8" x14ac:dyDescent="0.25">
      <c r="A199" t="s">
        <v>731</v>
      </c>
      <c r="B199">
        <v>2018</v>
      </c>
      <c r="C199">
        <v>110</v>
      </c>
      <c r="D199" t="s">
        <v>325</v>
      </c>
      <c r="E199">
        <v>6.6</v>
      </c>
      <c r="F199" t="s">
        <v>732</v>
      </c>
      <c r="G199" s="2" t="s">
        <v>733</v>
      </c>
      <c r="H199" s="6" t="s">
        <v>734</v>
      </c>
    </row>
    <row r="200" spans="1:8" x14ac:dyDescent="0.25">
      <c r="A200" t="s">
        <v>735</v>
      </c>
      <c r="B200">
        <v>1987</v>
      </c>
      <c r="C200">
        <v>102</v>
      </c>
      <c r="D200" t="s">
        <v>30</v>
      </c>
      <c r="E200">
        <v>6.6</v>
      </c>
      <c r="F200" t="s">
        <v>25</v>
      </c>
      <c r="G200" s="3">
        <v>47009</v>
      </c>
      <c r="H200" s="6" t="s">
        <v>736</v>
      </c>
    </row>
    <row r="201" spans="1:8" x14ac:dyDescent="0.25">
      <c r="A201" t="s">
        <v>737</v>
      </c>
      <c r="B201">
        <v>2005</v>
      </c>
      <c r="C201">
        <v>93</v>
      </c>
      <c r="D201" t="s">
        <v>178</v>
      </c>
      <c r="E201">
        <v>6.6</v>
      </c>
      <c r="F201" t="s">
        <v>738</v>
      </c>
      <c r="G201" s="2" t="s">
        <v>739</v>
      </c>
      <c r="H201" s="6" t="s">
        <v>740</v>
      </c>
    </row>
    <row r="202" spans="1:8" x14ac:dyDescent="0.25">
      <c r="A202" t="s">
        <v>741</v>
      </c>
      <c r="B202">
        <v>1986</v>
      </c>
      <c r="C202">
        <v>85</v>
      </c>
      <c r="D202" t="s">
        <v>9</v>
      </c>
      <c r="E202">
        <v>6.6</v>
      </c>
      <c r="F202" t="s">
        <v>346</v>
      </c>
      <c r="G202" s="3">
        <v>28213</v>
      </c>
      <c r="H202" s="6" t="s">
        <v>742</v>
      </c>
    </row>
    <row r="203" spans="1:8" x14ac:dyDescent="0.25">
      <c r="A203" t="s">
        <v>743</v>
      </c>
      <c r="B203">
        <v>1987</v>
      </c>
      <c r="C203">
        <v>96</v>
      </c>
      <c r="D203" t="s">
        <v>48</v>
      </c>
      <c r="E203">
        <v>6.6</v>
      </c>
      <c r="F203" t="s">
        <v>744</v>
      </c>
      <c r="G203" s="3">
        <v>85536</v>
      </c>
      <c r="H203" s="6" t="s">
        <v>745</v>
      </c>
    </row>
    <row r="204" spans="1:8" x14ac:dyDescent="0.25">
      <c r="A204" t="s">
        <v>746</v>
      </c>
      <c r="B204">
        <v>2015</v>
      </c>
      <c r="C204">
        <v>89</v>
      </c>
      <c r="D204" t="s">
        <v>446</v>
      </c>
      <c r="E204">
        <v>6.6</v>
      </c>
      <c r="F204" t="s">
        <v>447</v>
      </c>
      <c r="G204" s="2" t="s">
        <v>747</v>
      </c>
      <c r="H204" s="6" t="s">
        <v>748</v>
      </c>
    </row>
    <row r="205" spans="1:8" x14ac:dyDescent="0.25">
      <c r="A205" t="s">
        <v>749</v>
      </c>
      <c r="B205">
        <v>1983</v>
      </c>
      <c r="C205">
        <v>97</v>
      </c>
      <c r="D205" t="s">
        <v>19</v>
      </c>
      <c r="E205">
        <v>6.6</v>
      </c>
      <c r="F205" t="s">
        <v>750</v>
      </c>
      <c r="G205" s="3">
        <v>27761</v>
      </c>
      <c r="H205" s="6" t="s">
        <v>751</v>
      </c>
    </row>
    <row r="206" spans="1:8" x14ac:dyDescent="0.25">
      <c r="A206" t="s">
        <v>752</v>
      </c>
      <c r="B206">
        <v>1988</v>
      </c>
      <c r="C206">
        <v>95</v>
      </c>
      <c r="D206" t="s">
        <v>344</v>
      </c>
      <c r="E206">
        <v>6.6</v>
      </c>
      <c r="F206" t="s">
        <v>744</v>
      </c>
      <c r="G206" s="3">
        <v>40349</v>
      </c>
      <c r="H206" s="6" t="s">
        <v>753</v>
      </c>
    </row>
    <row r="207" spans="1:8" x14ac:dyDescent="0.25">
      <c r="A207" t="s">
        <v>755</v>
      </c>
      <c r="B207">
        <v>1983</v>
      </c>
      <c r="C207">
        <v>113</v>
      </c>
      <c r="D207" t="s">
        <v>240</v>
      </c>
      <c r="E207">
        <v>6.6</v>
      </c>
      <c r="F207" t="s">
        <v>756</v>
      </c>
      <c r="G207" s="3">
        <v>28989</v>
      </c>
      <c r="H207" s="6" t="s">
        <v>757</v>
      </c>
    </row>
    <row r="208" spans="1:8" x14ac:dyDescent="0.25">
      <c r="A208" t="s">
        <v>758</v>
      </c>
      <c r="B208">
        <v>2002</v>
      </c>
      <c r="C208">
        <v>93</v>
      </c>
      <c r="D208" t="s">
        <v>142</v>
      </c>
      <c r="E208">
        <v>6.6</v>
      </c>
      <c r="F208" t="s">
        <v>759</v>
      </c>
      <c r="G208" s="3">
        <v>38779</v>
      </c>
      <c r="H208" s="6" t="s">
        <v>141</v>
      </c>
    </row>
    <row r="209" spans="1:8" x14ac:dyDescent="0.25">
      <c r="A209" t="s">
        <v>760</v>
      </c>
      <c r="B209">
        <v>1979</v>
      </c>
      <c r="C209">
        <v>89</v>
      </c>
      <c r="D209" t="s">
        <v>9</v>
      </c>
      <c r="E209">
        <v>6.6</v>
      </c>
      <c r="F209" t="s">
        <v>514</v>
      </c>
      <c r="G209" s="3">
        <v>39050</v>
      </c>
      <c r="H209" s="6" t="s">
        <v>761</v>
      </c>
    </row>
    <row r="210" spans="1:8" x14ac:dyDescent="0.25">
      <c r="A210" t="s">
        <v>762</v>
      </c>
      <c r="B210">
        <v>2010</v>
      </c>
      <c r="C210">
        <v>84</v>
      </c>
      <c r="D210" t="s">
        <v>763</v>
      </c>
      <c r="E210">
        <v>6.6</v>
      </c>
      <c r="F210" t="s">
        <v>764</v>
      </c>
      <c r="G210" s="3">
        <v>30491</v>
      </c>
      <c r="H210" s="6" t="s">
        <v>765</v>
      </c>
    </row>
    <row r="211" spans="1:8" x14ac:dyDescent="0.25">
      <c r="A211" t="s">
        <v>766</v>
      </c>
      <c r="B211">
        <v>2002</v>
      </c>
      <c r="C211">
        <v>99</v>
      </c>
      <c r="D211" t="s">
        <v>284</v>
      </c>
      <c r="E211">
        <v>6.6</v>
      </c>
      <c r="F211" t="s">
        <v>767</v>
      </c>
      <c r="G211" s="3">
        <v>29645</v>
      </c>
      <c r="H211" s="6" t="s">
        <v>462</v>
      </c>
    </row>
    <row r="212" spans="1:8" x14ac:dyDescent="0.25">
      <c r="A212" t="s">
        <v>768</v>
      </c>
      <c r="B212">
        <v>2013</v>
      </c>
      <c r="C212">
        <v>91</v>
      </c>
      <c r="D212" t="s">
        <v>30</v>
      </c>
      <c r="E212">
        <v>6.5</v>
      </c>
      <c r="F212" t="s">
        <v>370</v>
      </c>
      <c r="G212" s="2" t="s">
        <v>769</v>
      </c>
      <c r="H212" s="6" t="s">
        <v>770</v>
      </c>
    </row>
    <row r="213" spans="1:8" x14ac:dyDescent="0.25">
      <c r="A213" t="s">
        <v>771</v>
      </c>
      <c r="B213">
        <v>2019</v>
      </c>
      <c r="C213">
        <v>169</v>
      </c>
      <c r="D213" t="s">
        <v>28</v>
      </c>
      <c r="E213">
        <v>6.5</v>
      </c>
      <c r="F213" t="s">
        <v>250</v>
      </c>
      <c r="G213" s="2" t="s">
        <v>772</v>
      </c>
      <c r="H213" s="6" t="s">
        <v>773</v>
      </c>
    </row>
    <row r="214" spans="1:8" x14ac:dyDescent="0.25">
      <c r="A214" t="s">
        <v>774</v>
      </c>
      <c r="B214">
        <v>2020</v>
      </c>
      <c r="C214">
        <v>90</v>
      </c>
      <c r="D214" t="s">
        <v>107</v>
      </c>
      <c r="E214">
        <v>6.5</v>
      </c>
      <c r="F214" t="s">
        <v>775</v>
      </c>
      <c r="G214" s="2" t="s">
        <v>776</v>
      </c>
      <c r="H214" s="6" t="s">
        <v>777</v>
      </c>
    </row>
    <row r="215" spans="1:8" x14ac:dyDescent="0.25">
      <c r="A215" t="s">
        <v>778</v>
      </c>
      <c r="B215">
        <v>2006</v>
      </c>
      <c r="C215">
        <v>125</v>
      </c>
      <c r="D215" t="s">
        <v>178</v>
      </c>
      <c r="E215">
        <v>6.5</v>
      </c>
      <c r="F215" t="s">
        <v>464</v>
      </c>
      <c r="G215" s="2" t="s">
        <v>779</v>
      </c>
      <c r="H215" s="6" t="s">
        <v>780</v>
      </c>
    </row>
    <row r="216" spans="1:8" x14ac:dyDescent="0.25">
      <c r="A216" t="s">
        <v>781</v>
      </c>
      <c r="B216">
        <v>2009</v>
      </c>
      <c r="C216">
        <v>108</v>
      </c>
      <c r="D216" t="s">
        <v>39</v>
      </c>
      <c r="E216">
        <v>6.5</v>
      </c>
      <c r="F216" t="s">
        <v>561</v>
      </c>
      <c r="G216" s="2" t="s">
        <v>782</v>
      </c>
      <c r="H216" s="6" t="s">
        <v>783</v>
      </c>
    </row>
    <row r="217" spans="1:8" x14ac:dyDescent="0.25">
      <c r="A217" t="s">
        <v>784</v>
      </c>
      <c r="B217">
        <v>2013</v>
      </c>
      <c r="C217">
        <v>106</v>
      </c>
      <c r="D217" t="s">
        <v>14</v>
      </c>
      <c r="E217">
        <v>6.5</v>
      </c>
      <c r="F217" t="s">
        <v>103</v>
      </c>
      <c r="G217" s="2" t="s">
        <v>785</v>
      </c>
      <c r="H217" s="6" t="s">
        <v>786</v>
      </c>
    </row>
    <row r="218" spans="1:8" x14ac:dyDescent="0.25">
      <c r="A218" t="s">
        <v>787</v>
      </c>
      <c r="B218">
        <v>2009</v>
      </c>
      <c r="C218">
        <v>110</v>
      </c>
      <c r="D218" t="s">
        <v>72</v>
      </c>
      <c r="E218">
        <v>6.5</v>
      </c>
      <c r="F218" t="s">
        <v>788</v>
      </c>
      <c r="G218" s="3">
        <v>96680</v>
      </c>
      <c r="H218" s="6" t="s">
        <v>789</v>
      </c>
    </row>
    <row r="219" spans="1:8" x14ac:dyDescent="0.25">
      <c r="A219" t="s">
        <v>790</v>
      </c>
      <c r="B219">
        <v>2018</v>
      </c>
      <c r="C219">
        <v>121</v>
      </c>
      <c r="D219" t="s">
        <v>438</v>
      </c>
      <c r="E219">
        <v>6.5</v>
      </c>
      <c r="F219" t="s">
        <v>791</v>
      </c>
      <c r="G219" s="3">
        <v>83932</v>
      </c>
      <c r="H219" s="6" t="s">
        <v>792</v>
      </c>
    </row>
    <row r="220" spans="1:8" x14ac:dyDescent="0.25">
      <c r="A220" t="s">
        <v>793</v>
      </c>
      <c r="B220">
        <v>2006</v>
      </c>
      <c r="C220">
        <v>95</v>
      </c>
      <c r="D220" t="s">
        <v>296</v>
      </c>
      <c r="E220">
        <v>6.5</v>
      </c>
      <c r="F220" t="s">
        <v>794</v>
      </c>
      <c r="G220" s="3">
        <v>85847</v>
      </c>
      <c r="H220" s="6" t="s">
        <v>795</v>
      </c>
    </row>
    <row r="221" spans="1:8" x14ac:dyDescent="0.25">
      <c r="A221" t="s">
        <v>796</v>
      </c>
      <c r="B221">
        <v>1999</v>
      </c>
      <c r="C221">
        <v>81</v>
      </c>
      <c r="D221" t="s">
        <v>178</v>
      </c>
      <c r="E221">
        <v>6.5</v>
      </c>
      <c r="F221" t="s">
        <v>797</v>
      </c>
      <c r="G221" s="2" t="s">
        <v>798</v>
      </c>
      <c r="H221" s="6" t="s">
        <v>799</v>
      </c>
    </row>
    <row r="222" spans="1:8" x14ac:dyDescent="0.25">
      <c r="A222" t="s">
        <v>800</v>
      </c>
      <c r="B222">
        <v>2017</v>
      </c>
      <c r="C222">
        <v>111</v>
      </c>
      <c r="D222" t="s">
        <v>28</v>
      </c>
      <c r="E222">
        <v>6.5</v>
      </c>
      <c r="F222" t="s">
        <v>667</v>
      </c>
      <c r="G222" s="3">
        <v>46030</v>
      </c>
      <c r="H222" s="6" t="s">
        <v>801</v>
      </c>
    </row>
    <row r="223" spans="1:8" x14ac:dyDescent="0.25">
      <c r="A223" t="s">
        <v>802</v>
      </c>
      <c r="B223">
        <v>2013</v>
      </c>
      <c r="C223">
        <v>104</v>
      </c>
      <c r="D223" t="s">
        <v>14</v>
      </c>
      <c r="E223">
        <v>6.5</v>
      </c>
      <c r="F223" t="s">
        <v>258</v>
      </c>
      <c r="G223" s="2" t="s">
        <v>803</v>
      </c>
      <c r="H223" s="6" t="s">
        <v>804</v>
      </c>
    </row>
    <row r="224" spans="1:8" x14ac:dyDescent="0.25">
      <c r="A224" t="s">
        <v>805</v>
      </c>
      <c r="B224">
        <v>1981</v>
      </c>
      <c r="C224">
        <v>91</v>
      </c>
      <c r="D224" t="s">
        <v>30</v>
      </c>
      <c r="E224">
        <v>6.5</v>
      </c>
      <c r="F224" t="s">
        <v>277</v>
      </c>
      <c r="G224" s="3">
        <v>38157</v>
      </c>
      <c r="H224" s="6" t="s">
        <v>806</v>
      </c>
    </row>
    <row r="225" spans="1:8" x14ac:dyDescent="0.25">
      <c r="A225" t="s">
        <v>807</v>
      </c>
      <c r="B225">
        <v>2017</v>
      </c>
      <c r="C225">
        <v>109</v>
      </c>
      <c r="D225" t="s">
        <v>14</v>
      </c>
      <c r="E225">
        <v>6.5</v>
      </c>
      <c r="F225" t="s">
        <v>808</v>
      </c>
      <c r="G225" s="2" t="s">
        <v>809</v>
      </c>
      <c r="H225" s="6" t="s">
        <v>810</v>
      </c>
    </row>
    <row r="226" spans="1:8" x14ac:dyDescent="0.25">
      <c r="A226" t="s">
        <v>811</v>
      </c>
      <c r="B226">
        <v>2015</v>
      </c>
      <c r="C226">
        <v>119</v>
      </c>
      <c r="D226" t="s">
        <v>42</v>
      </c>
      <c r="E226">
        <v>6.5</v>
      </c>
      <c r="F226" t="s">
        <v>236</v>
      </c>
      <c r="G226" s="2" t="s">
        <v>812</v>
      </c>
      <c r="H226" s="6" t="s">
        <v>813</v>
      </c>
    </row>
    <row r="227" spans="1:8" x14ac:dyDescent="0.25">
      <c r="A227" t="s">
        <v>814</v>
      </c>
      <c r="B227">
        <v>2018</v>
      </c>
      <c r="C227">
        <v>106</v>
      </c>
      <c r="D227" t="s">
        <v>369</v>
      </c>
      <c r="E227">
        <v>6.5</v>
      </c>
      <c r="F227" t="s">
        <v>815</v>
      </c>
      <c r="G227" s="2" t="s">
        <v>816</v>
      </c>
      <c r="H227" s="6" t="s">
        <v>817</v>
      </c>
    </row>
    <row r="228" spans="1:8" x14ac:dyDescent="0.25">
      <c r="A228" t="s">
        <v>818</v>
      </c>
      <c r="B228">
        <v>1989</v>
      </c>
      <c r="C228">
        <v>103</v>
      </c>
      <c r="D228" t="s">
        <v>819</v>
      </c>
      <c r="E228">
        <v>6.5</v>
      </c>
      <c r="F228" t="s">
        <v>820</v>
      </c>
      <c r="G228" s="2" t="s">
        <v>821</v>
      </c>
      <c r="H228" s="6" t="s">
        <v>822</v>
      </c>
    </row>
    <row r="229" spans="1:8" x14ac:dyDescent="0.25">
      <c r="A229" t="s">
        <v>823</v>
      </c>
      <c r="B229">
        <v>1990</v>
      </c>
      <c r="C229">
        <v>109</v>
      </c>
      <c r="D229" t="s">
        <v>308</v>
      </c>
      <c r="E229">
        <v>6.5</v>
      </c>
      <c r="F229" t="s">
        <v>824</v>
      </c>
      <c r="G229" s="3">
        <v>72630</v>
      </c>
      <c r="H229" s="6" t="s">
        <v>825</v>
      </c>
    </row>
    <row r="230" spans="1:8" x14ac:dyDescent="0.25">
      <c r="A230" t="s">
        <v>826</v>
      </c>
      <c r="B230">
        <v>2010</v>
      </c>
      <c r="C230">
        <v>101</v>
      </c>
      <c r="D230" t="s">
        <v>72</v>
      </c>
      <c r="E230">
        <v>6.5</v>
      </c>
      <c r="F230" t="s">
        <v>827</v>
      </c>
      <c r="G230" s="2" t="s">
        <v>828</v>
      </c>
      <c r="H230" s="6" t="s">
        <v>829</v>
      </c>
    </row>
    <row r="231" spans="1:8" x14ac:dyDescent="0.25">
      <c r="A231" t="s">
        <v>830</v>
      </c>
      <c r="B231">
        <v>2005</v>
      </c>
      <c r="C231">
        <v>104</v>
      </c>
      <c r="D231" t="s">
        <v>42</v>
      </c>
      <c r="E231">
        <v>6.5</v>
      </c>
      <c r="F231" t="s">
        <v>831</v>
      </c>
      <c r="G231" s="2" t="s">
        <v>832</v>
      </c>
      <c r="H231" s="6" t="s">
        <v>833</v>
      </c>
    </row>
    <row r="232" spans="1:8" x14ac:dyDescent="0.25">
      <c r="A232" t="s">
        <v>834</v>
      </c>
      <c r="B232">
        <v>2016</v>
      </c>
      <c r="C232">
        <v>89</v>
      </c>
      <c r="D232" t="s">
        <v>308</v>
      </c>
      <c r="E232">
        <v>6.5</v>
      </c>
      <c r="F232" t="s">
        <v>835</v>
      </c>
      <c r="G232" s="3">
        <v>42119</v>
      </c>
      <c r="H232" s="6" t="s">
        <v>836</v>
      </c>
    </row>
    <row r="233" spans="1:8" x14ac:dyDescent="0.25">
      <c r="A233" t="s">
        <v>837</v>
      </c>
      <c r="B233">
        <v>1990</v>
      </c>
      <c r="C233">
        <v>110</v>
      </c>
      <c r="D233" t="s">
        <v>42</v>
      </c>
      <c r="E233">
        <v>6.5</v>
      </c>
      <c r="F233" t="s">
        <v>838</v>
      </c>
      <c r="G233" s="3">
        <v>34521</v>
      </c>
      <c r="H233" s="6" t="s">
        <v>839</v>
      </c>
    </row>
    <row r="234" spans="1:8" x14ac:dyDescent="0.25">
      <c r="A234" t="s">
        <v>840</v>
      </c>
      <c r="B234">
        <v>1987</v>
      </c>
      <c r="C234">
        <v>118</v>
      </c>
      <c r="D234" t="s">
        <v>187</v>
      </c>
      <c r="E234">
        <v>6.5</v>
      </c>
      <c r="F234" t="s">
        <v>841</v>
      </c>
      <c r="G234" s="3">
        <v>73547</v>
      </c>
      <c r="H234" s="6" t="s">
        <v>842</v>
      </c>
    </row>
    <row r="235" spans="1:8" x14ac:dyDescent="0.25">
      <c r="A235" t="s">
        <v>843</v>
      </c>
      <c r="B235">
        <v>1981</v>
      </c>
      <c r="C235">
        <v>92</v>
      </c>
      <c r="D235" t="s">
        <v>30</v>
      </c>
      <c r="E235">
        <v>6.5</v>
      </c>
      <c r="F235" t="s">
        <v>844</v>
      </c>
      <c r="G235" s="3">
        <v>96004</v>
      </c>
      <c r="H235" s="6" t="s">
        <v>845</v>
      </c>
    </row>
    <row r="236" spans="1:8" x14ac:dyDescent="0.25">
      <c r="A236" t="s">
        <v>846</v>
      </c>
      <c r="B236">
        <v>1990</v>
      </c>
      <c r="C236">
        <v>115</v>
      </c>
      <c r="D236" t="s">
        <v>83</v>
      </c>
      <c r="E236">
        <v>6.5</v>
      </c>
      <c r="F236" t="s">
        <v>313</v>
      </c>
      <c r="G236" s="3">
        <v>90146</v>
      </c>
      <c r="H236" s="6" t="s">
        <v>847</v>
      </c>
    </row>
    <row r="237" spans="1:8" x14ac:dyDescent="0.25">
      <c r="A237" t="s">
        <v>849</v>
      </c>
      <c r="B237">
        <v>2012</v>
      </c>
      <c r="C237">
        <v>118</v>
      </c>
      <c r="D237" t="s">
        <v>28</v>
      </c>
      <c r="E237">
        <v>6.5</v>
      </c>
      <c r="F237" t="s">
        <v>158</v>
      </c>
      <c r="G237" s="3">
        <v>44832</v>
      </c>
      <c r="H237" s="6" t="s">
        <v>145</v>
      </c>
    </row>
    <row r="238" spans="1:8" x14ac:dyDescent="0.25">
      <c r="A238" t="s">
        <v>850</v>
      </c>
      <c r="B238">
        <v>2009</v>
      </c>
      <c r="C238">
        <v>85</v>
      </c>
      <c r="D238" t="s">
        <v>72</v>
      </c>
      <c r="E238">
        <v>6.5</v>
      </c>
      <c r="F238" t="s">
        <v>230</v>
      </c>
      <c r="G238" s="3">
        <v>75857</v>
      </c>
      <c r="H238" s="6" t="s">
        <v>606</v>
      </c>
    </row>
    <row r="239" spans="1:8" x14ac:dyDescent="0.25">
      <c r="A239" t="s">
        <v>851</v>
      </c>
      <c r="B239">
        <v>2012</v>
      </c>
      <c r="C239">
        <v>88</v>
      </c>
      <c r="D239" t="s">
        <v>852</v>
      </c>
      <c r="E239">
        <v>6.5</v>
      </c>
      <c r="F239" t="s">
        <v>853</v>
      </c>
      <c r="G239" s="3">
        <v>29544</v>
      </c>
      <c r="H239" s="6" t="s">
        <v>411</v>
      </c>
    </row>
    <row r="240" spans="1:8" x14ac:dyDescent="0.25">
      <c r="A240" t="s">
        <v>854</v>
      </c>
      <c r="B240">
        <v>2022</v>
      </c>
      <c r="C240">
        <v>102</v>
      </c>
      <c r="D240" t="s">
        <v>344</v>
      </c>
      <c r="E240">
        <v>6.4</v>
      </c>
      <c r="F240" t="s">
        <v>678</v>
      </c>
      <c r="G240" s="2" t="s">
        <v>855</v>
      </c>
      <c r="H240" s="6" t="s">
        <v>856</v>
      </c>
    </row>
    <row r="241" spans="1:8" x14ac:dyDescent="0.25">
      <c r="A241" t="s">
        <v>857</v>
      </c>
      <c r="B241">
        <v>2017</v>
      </c>
      <c r="C241">
        <v>122</v>
      </c>
      <c r="D241" t="s">
        <v>344</v>
      </c>
      <c r="E241">
        <v>6.4</v>
      </c>
      <c r="F241" t="s">
        <v>10</v>
      </c>
      <c r="G241" s="2" t="s">
        <v>858</v>
      </c>
      <c r="H241" s="6" t="s">
        <v>859</v>
      </c>
    </row>
    <row r="242" spans="1:8" x14ac:dyDescent="0.25">
      <c r="A242" t="s">
        <v>860</v>
      </c>
      <c r="B242">
        <v>2019</v>
      </c>
      <c r="C242">
        <v>99</v>
      </c>
      <c r="D242" t="s">
        <v>62</v>
      </c>
      <c r="E242">
        <v>6.4</v>
      </c>
      <c r="F242" t="s">
        <v>861</v>
      </c>
      <c r="G242" s="2" t="s">
        <v>862</v>
      </c>
      <c r="H242" s="6" t="s">
        <v>863</v>
      </c>
    </row>
    <row r="243" spans="1:8" x14ac:dyDescent="0.25">
      <c r="A243" t="s">
        <v>864</v>
      </c>
      <c r="B243">
        <v>1980</v>
      </c>
      <c r="C243">
        <v>95</v>
      </c>
      <c r="D243" t="s">
        <v>14</v>
      </c>
      <c r="E243">
        <v>6.4</v>
      </c>
      <c r="F243" t="s">
        <v>865</v>
      </c>
      <c r="G243" s="2" t="s">
        <v>866</v>
      </c>
      <c r="H243" s="6" t="s">
        <v>867</v>
      </c>
    </row>
    <row r="244" spans="1:8" x14ac:dyDescent="0.25">
      <c r="A244" t="s">
        <v>868</v>
      </c>
      <c r="B244">
        <v>1996</v>
      </c>
      <c r="C244">
        <v>101</v>
      </c>
      <c r="D244" t="s">
        <v>28</v>
      </c>
      <c r="E244">
        <v>6.4</v>
      </c>
      <c r="F244" t="s">
        <v>869</v>
      </c>
      <c r="G244" s="3">
        <v>99986</v>
      </c>
      <c r="H244" s="6" t="s">
        <v>870</v>
      </c>
    </row>
    <row r="245" spans="1:8" x14ac:dyDescent="0.25">
      <c r="A245" t="s">
        <v>871</v>
      </c>
      <c r="B245">
        <v>2006</v>
      </c>
      <c r="C245">
        <v>107</v>
      </c>
      <c r="D245" t="s">
        <v>72</v>
      </c>
      <c r="E245">
        <v>6.4</v>
      </c>
      <c r="F245" t="s">
        <v>639</v>
      </c>
      <c r="G245" s="2" t="s">
        <v>872</v>
      </c>
      <c r="H245" s="6" t="s">
        <v>873</v>
      </c>
    </row>
    <row r="246" spans="1:8" x14ac:dyDescent="0.25">
      <c r="A246" t="s">
        <v>874</v>
      </c>
      <c r="B246">
        <v>1992</v>
      </c>
      <c r="C246">
        <v>114</v>
      </c>
      <c r="D246" t="s">
        <v>325</v>
      </c>
      <c r="E246">
        <v>6.4</v>
      </c>
      <c r="F246" t="s">
        <v>875</v>
      </c>
      <c r="G246" s="2" t="s">
        <v>876</v>
      </c>
      <c r="H246" s="6" t="s">
        <v>877</v>
      </c>
    </row>
    <row r="247" spans="1:8" x14ac:dyDescent="0.25">
      <c r="A247" t="s">
        <v>878</v>
      </c>
      <c r="B247">
        <v>2016</v>
      </c>
      <c r="C247">
        <v>146</v>
      </c>
      <c r="D247" t="s">
        <v>28</v>
      </c>
      <c r="E247">
        <v>6.4</v>
      </c>
      <c r="F247" t="s">
        <v>361</v>
      </c>
      <c r="G247" s="2" t="s">
        <v>879</v>
      </c>
      <c r="H247" s="6" t="s">
        <v>880</v>
      </c>
    </row>
    <row r="248" spans="1:8" x14ac:dyDescent="0.25">
      <c r="A248" t="s">
        <v>881</v>
      </c>
      <c r="B248">
        <v>2000</v>
      </c>
      <c r="C248">
        <v>107</v>
      </c>
      <c r="D248" t="s">
        <v>882</v>
      </c>
      <c r="E248">
        <v>6.4</v>
      </c>
      <c r="F248" t="s">
        <v>883</v>
      </c>
      <c r="G248" s="2" t="s">
        <v>884</v>
      </c>
      <c r="H248" s="6" t="s">
        <v>885</v>
      </c>
    </row>
    <row r="249" spans="1:8" x14ac:dyDescent="0.25">
      <c r="A249" t="s">
        <v>886</v>
      </c>
      <c r="B249">
        <v>2017</v>
      </c>
      <c r="C249">
        <v>108</v>
      </c>
      <c r="D249" t="s">
        <v>329</v>
      </c>
      <c r="E249">
        <v>6.4</v>
      </c>
      <c r="F249" t="s">
        <v>887</v>
      </c>
      <c r="G249" s="3">
        <v>45825</v>
      </c>
      <c r="H249" s="6" t="s">
        <v>888</v>
      </c>
    </row>
    <row r="250" spans="1:8" x14ac:dyDescent="0.25">
      <c r="A250" t="s">
        <v>457</v>
      </c>
      <c r="B250">
        <v>2011</v>
      </c>
      <c r="C250">
        <v>106</v>
      </c>
      <c r="D250" t="s">
        <v>44</v>
      </c>
      <c r="E250">
        <v>6.4</v>
      </c>
      <c r="F250" t="s">
        <v>889</v>
      </c>
      <c r="G250" s="2" t="s">
        <v>890</v>
      </c>
      <c r="H250" s="6" t="s">
        <v>891</v>
      </c>
    </row>
    <row r="251" spans="1:8" x14ac:dyDescent="0.25">
      <c r="A251" t="s">
        <v>892</v>
      </c>
      <c r="B251">
        <v>1983</v>
      </c>
      <c r="C251">
        <v>101</v>
      </c>
      <c r="D251" t="s">
        <v>9</v>
      </c>
      <c r="E251">
        <v>6.4</v>
      </c>
      <c r="F251" t="s">
        <v>277</v>
      </c>
      <c r="G251" s="3">
        <v>39519</v>
      </c>
      <c r="H251" s="6" t="s">
        <v>893</v>
      </c>
    </row>
    <row r="252" spans="1:8" x14ac:dyDescent="0.25">
      <c r="A252" t="s">
        <v>894</v>
      </c>
      <c r="B252">
        <v>2014</v>
      </c>
      <c r="C252">
        <v>103</v>
      </c>
      <c r="D252" t="s">
        <v>325</v>
      </c>
      <c r="E252">
        <v>6.4</v>
      </c>
      <c r="F252" t="s">
        <v>895</v>
      </c>
      <c r="G252" s="2" t="s">
        <v>896</v>
      </c>
      <c r="H252" s="6" t="s">
        <v>897</v>
      </c>
    </row>
    <row r="253" spans="1:8" x14ac:dyDescent="0.25">
      <c r="A253" t="s">
        <v>898</v>
      </c>
      <c r="B253">
        <v>1990</v>
      </c>
      <c r="C253">
        <v>106</v>
      </c>
      <c r="D253" t="s">
        <v>187</v>
      </c>
      <c r="E253">
        <v>6.4</v>
      </c>
      <c r="F253" t="s">
        <v>277</v>
      </c>
      <c r="G253" s="2" t="s">
        <v>899</v>
      </c>
      <c r="H253" s="6" t="s">
        <v>900</v>
      </c>
    </row>
    <row r="254" spans="1:8" x14ac:dyDescent="0.25">
      <c r="A254" t="s">
        <v>901</v>
      </c>
      <c r="B254">
        <v>2010</v>
      </c>
      <c r="C254">
        <v>102</v>
      </c>
      <c r="D254" t="s">
        <v>902</v>
      </c>
      <c r="E254">
        <v>6.4</v>
      </c>
      <c r="F254" t="s">
        <v>903</v>
      </c>
      <c r="G254" s="3">
        <v>49744</v>
      </c>
      <c r="H254" s="6" t="s">
        <v>836</v>
      </c>
    </row>
    <row r="255" spans="1:8" x14ac:dyDescent="0.25">
      <c r="A255" t="s">
        <v>904</v>
      </c>
      <c r="B255">
        <v>1991</v>
      </c>
      <c r="C255">
        <v>102</v>
      </c>
      <c r="D255" t="s">
        <v>242</v>
      </c>
      <c r="E255">
        <v>6.4</v>
      </c>
      <c r="F255" t="s">
        <v>198</v>
      </c>
      <c r="G255" s="3">
        <v>37305</v>
      </c>
      <c r="H255" s="6" t="s">
        <v>905</v>
      </c>
    </row>
    <row r="256" spans="1:8" x14ac:dyDescent="0.25">
      <c r="A256" t="s">
        <v>906</v>
      </c>
      <c r="B256">
        <v>2013</v>
      </c>
      <c r="C256">
        <v>120</v>
      </c>
      <c r="D256" t="s">
        <v>907</v>
      </c>
      <c r="E256">
        <v>6.4</v>
      </c>
      <c r="F256" t="s">
        <v>639</v>
      </c>
      <c r="G256" s="3">
        <v>85762</v>
      </c>
      <c r="H256" s="6" t="s">
        <v>908</v>
      </c>
    </row>
    <row r="257" spans="1:8" x14ac:dyDescent="0.25">
      <c r="A257" t="s">
        <v>909</v>
      </c>
      <c r="B257">
        <v>1988</v>
      </c>
      <c r="C257">
        <v>98</v>
      </c>
      <c r="D257" t="s">
        <v>48</v>
      </c>
      <c r="E257">
        <v>6.4</v>
      </c>
      <c r="F257" t="s">
        <v>198</v>
      </c>
      <c r="G257" s="3">
        <v>26707</v>
      </c>
      <c r="H257" s="6" t="s">
        <v>910</v>
      </c>
    </row>
    <row r="258" spans="1:8" x14ac:dyDescent="0.25">
      <c r="A258" t="s">
        <v>911</v>
      </c>
      <c r="B258">
        <v>2015</v>
      </c>
      <c r="C258">
        <v>134</v>
      </c>
      <c r="D258" t="s">
        <v>28</v>
      </c>
      <c r="E258">
        <v>6.4</v>
      </c>
      <c r="F258" t="s">
        <v>912</v>
      </c>
      <c r="G258" s="3">
        <v>29867</v>
      </c>
      <c r="H258" s="6" t="s">
        <v>145</v>
      </c>
    </row>
    <row r="259" spans="1:8" x14ac:dyDescent="0.25">
      <c r="A259" t="s">
        <v>913</v>
      </c>
      <c r="B259">
        <v>2009</v>
      </c>
      <c r="C259">
        <v>98</v>
      </c>
      <c r="D259" t="s">
        <v>325</v>
      </c>
      <c r="E259">
        <v>6.4</v>
      </c>
      <c r="F259" t="s">
        <v>914</v>
      </c>
      <c r="G259" s="2" t="s">
        <v>915</v>
      </c>
      <c r="H259" s="6" t="s">
        <v>916</v>
      </c>
    </row>
    <row r="260" spans="1:8" x14ac:dyDescent="0.25">
      <c r="A260" t="s">
        <v>917</v>
      </c>
      <c r="B260">
        <v>2012</v>
      </c>
      <c r="C260">
        <v>95</v>
      </c>
      <c r="D260" t="s">
        <v>28</v>
      </c>
      <c r="E260">
        <v>6.4</v>
      </c>
      <c r="F260" t="s">
        <v>611</v>
      </c>
      <c r="G260" s="2" t="s">
        <v>918</v>
      </c>
      <c r="H260" s="6" t="s">
        <v>919</v>
      </c>
    </row>
    <row r="261" spans="1:8" x14ac:dyDescent="0.25">
      <c r="A261" t="s">
        <v>920</v>
      </c>
      <c r="B261">
        <v>1985</v>
      </c>
      <c r="C261">
        <v>95</v>
      </c>
      <c r="D261" t="s">
        <v>30</v>
      </c>
      <c r="E261">
        <v>6.4</v>
      </c>
      <c r="F261" t="s">
        <v>921</v>
      </c>
      <c r="G261" s="3">
        <v>29605</v>
      </c>
      <c r="H261" s="6" t="s">
        <v>922</v>
      </c>
    </row>
    <row r="262" spans="1:8" x14ac:dyDescent="0.25">
      <c r="A262" t="s">
        <v>923</v>
      </c>
      <c r="B262">
        <v>2011</v>
      </c>
      <c r="C262">
        <v>95</v>
      </c>
      <c r="D262" t="s">
        <v>67</v>
      </c>
      <c r="E262">
        <v>6.4</v>
      </c>
      <c r="F262" t="s">
        <v>853</v>
      </c>
      <c r="G262" s="3">
        <v>42875</v>
      </c>
      <c r="H262" s="6" t="s">
        <v>606</v>
      </c>
    </row>
    <row r="263" spans="1:8" x14ac:dyDescent="0.25">
      <c r="A263" t="s">
        <v>924</v>
      </c>
      <c r="B263">
        <v>1994</v>
      </c>
      <c r="C263">
        <v>112</v>
      </c>
      <c r="D263" t="s">
        <v>284</v>
      </c>
      <c r="E263">
        <v>6.4</v>
      </c>
      <c r="F263" t="s">
        <v>198</v>
      </c>
      <c r="G263" s="3">
        <v>61174</v>
      </c>
      <c r="H263" s="6" t="s">
        <v>925</v>
      </c>
    </row>
    <row r="264" spans="1:8" x14ac:dyDescent="0.25">
      <c r="A264" t="s">
        <v>926</v>
      </c>
      <c r="B264">
        <v>2008</v>
      </c>
      <c r="C264">
        <v>98</v>
      </c>
      <c r="D264" t="s">
        <v>927</v>
      </c>
      <c r="E264">
        <v>6.4</v>
      </c>
      <c r="F264" t="s">
        <v>738</v>
      </c>
      <c r="G264" s="3">
        <v>25810</v>
      </c>
      <c r="H264" s="6" t="s">
        <v>928</v>
      </c>
    </row>
    <row r="265" spans="1:8" x14ac:dyDescent="0.25">
      <c r="A265" t="s">
        <v>929</v>
      </c>
      <c r="B265">
        <v>2002</v>
      </c>
      <c r="C265">
        <v>119</v>
      </c>
      <c r="D265" t="s">
        <v>42</v>
      </c>
      <c r="E265">
        <v>6.4</v>
      </c>
      <c r="F265" t="s">
        <v>930</v>
      </c>
      <c r="G265" s="3">
        <v>82494</v>
      </c>
      <c r="H265" s="6" t="s">
        <v>931</v>
      </c>
    </row>
    <row r="266" spans="1:8" x14ac:dyDescent="0.25">
      <c r="A266" t="s">
        <v>932</v>
      </c>
      <c r="B266">
        <v>2001</v>
      </c>
      <c r="C266">
        <v>97</v>
      </c>
      <c r="D266" t="s">
        <v>42</v>
      </c>
      <c r="E266">
        <v>6.4</v>
      </c>
      <c r="F266" t="s">
        <v>603</v>
      </c>
      <c r="G266" s="3">
        <v>60761</v>
      </c>
      <c r="H266" s="6" t="s">
        <v>933</v>
      </c>
    </row>
    <row r="267" spans="1:8" x14ac:dyDescent="0.25">
      <c r="A267" t="s">
        <v>934</v>
      </c>
      <c r="B267">
        <v>2018</v>
      </c>
      <c r="C267">
        <v>98</v>
      </c>
      <c r="D267" t="s">
        <v>42</v>
      </c>
      <c r="E267">
        <v>6.4</v>
      </c>
      <c r="F267" t="s">
        <v>935</v>
      </c>
      <c r="G267" s="3">
        <v>48245</v>
      </c>
      <c r="H267" s="6" t="s">
        <v>936</v>
      </c>
    </row>
    <row r="268" spans="1:8" x14ac:dyDescent="0.25">
      <c r="A268" t="s">
        <v>937</v>
      </c>
      <c r="B268">
        <v>1988</v>
      </c>
      <c r="C268">
        <v>97</v>
      </c>
      <c r="D268" t="s">
        <v>72</v>
      </c>
      <c r="E268">
        <v>6.4</v>
      </c>
      <c r="F268" t="s">
        <v>938</v>
      </c>
      <c r="G268" s="3">
        <v>53253</v>
      </c>
      <c r="H268" s="6" t="s">
        <v>939</v>
      </c>
    </row>
    <row r="269" spans="1:8" x14ac:dyDescent="0.25">
      <c r="A269" t="s">
        <v>940</v>
      </c>
      <c r="B269">
        <v>2017</v>
      </c>
      <c r="C269">
        <v>98</v>
      </c>
      <c r="D269" t="s">
        <v>19</v>
      </c>
      <c r="E269">
        <v>6.4</v>
      </c>
      <c r="F269" t="s">
        <v>941</v>
      </c>
      <c r="G269" s="3">
        <v>35682</v>
      </c>
      <c r="H269" s="6" t="s">
        <v>928</v>
      </c>
    </row>
    <row r="270" spans="1:8" x14ac:dyDescent="0.25">
      <c r="A270" t="s">
        <v>942</v>
      </c>
      <c r="B270">
        <v>1995</v>
      </c>
      <c r="C270">
        <v>98</v>
      </c>
      <c r="D270" t="s">
        <v>162</v>
      </c>
      <c r="E270">
        <v>6.4</v>
      </c>
      <c r="F270" t="s">
        <v>943</v>
      </c>
      <c r="G270" s="3">
        <v>32198</v>
      </c>
      <c r="H270" s="6" t="s">
        <v>944</v>
      </c>
    </row>
    <row r="271" spans="1:8" x14ac:dyDescent="0.25">
      <c r="A271" t="s">
        <v>945</v>
      </c>
      <c r="B271">
        <v>2006</v>
      </c>
      <c r="C271">
        <v>96</v>
      </c>
      <c r="D271" t="s">
        <v>44</v>
      </c>
      <c r="E271">
        <v>6.4</v>
      </c>
      <c r="F271" t="s">
        <v>903</v>
      </c>
      <c r="G271" s="3">
        <v>39807</v>
      </c>
      <c r="H271" s="6" t="s">
        <v>928</v>
      </c>
    </row>
    <row r="272" spans="1:8" x14ac:dyDescent="0.25">
      <c r="A272" t="s">
        <v>947</v>
      </c>
      <c r="B272">
        <v>2010</v>
      </c>
      <c r="C272">
        <v>98</v>
      </c>
      <c r="D272" t="s">
        <v>83</v>
      </c>
      <c r="E272">
        <v>6.4</v>
      </c>
      <c r="F272" t="s">
        <v>948</v>
      </c>
      <c r="G272" s="3">
        <v>43421</v>
      </c>
      <c r="H272" s="6" t="s">
        <v>836</v>
      </c>
    </row>
    <row r="273" spans="1:8" x14ac:dyDescent="0.25">
      <c r="A273" t="s">
        <v>949</v>
      </c>
      <c r="B273">
        <v>2004</v>
      </c>
      <c r="C273">
        <v>114</v>
      </c>
      <c r="D273" t="s">
        <v>438</v>
      </c>
      <c r="E273">
        <v>6.4</v>
      </c>
      <c r="F273" t="s">
        <v>950</v>
      </c>
      <c r="G273" s="3">
        <v>54703</v>
      </c>
      <c r="H273" s="6" t="s">
        <v>951</v>
      </c>
    </row>
    <row r="274" spans="1:8" x14ac:dyDescent="0.25">
      <c r="A274" t="s">
        <v>952</v>
      </c>
      <c r="B274">
        <v>2006</v>
      </c>
      <c r="C274">
        <v>132</v>
      </c>
      <c r="D274" t="s">
        <v>438</v>
      </c>
      <c r="E274">
        <v>6.4</v>
      </c>
      <c r="F274" t="s">
        <v>950</v>
      </c>
      <c r="G274" s="3">
        <v>34927</v>
      </c>
      <c r="H274" s="6" t="s">
        <v>953</v>
      </c>
    </row>
    <row r="275" spans="1:8" x14ac:dyDescent="0.25">
      <c r="A275" t="s">
        <v>954</v>
      </c>
      <c r="B275">
        <v>2022</v>
      </c>
      <c r="C275">
        <v>114</v>
      </c>
      <c r="D275" t="s">
        <v>14</v>
      </c>
      <c r="E275">
        <v>6.3</v>
      </c>
      <c r="F275" t="s">
        <v>540</v>
      </c>
      <c r="G275" s="2" t="s">
        <v>955</v>
      </c>
      <c r="H275" s="6" t="s">
        <v>956</v>
      </c>
    </row>
    <row r="276" spans="1:8" x14ac:dyDescent="0.25">
      <c r="A276" t="s">
        <v>957</v>
      </c>
      <c r="B276">
        <v>2013</v>
      </c>
      <c r="C276">
        <v>108</v>
      </c>
      <c r="D276" t="s">
        <v>42</v>
      </c>
      <c r="E276">
        <v>6.3</v>
      </c>
      <c r="F276" t="s">
        <v>958</v>
      </c>
      <c r="G276" s="2" t="s">
        <v>959</v>
      </c>
      <c r="H276" s="6" t="s">
        <v>960</v>
      </c>
    </row>
    <row r="277" spans="1:8" x14ac:dyDescent="0.25">
      <c r="A277" t="s">
        <v>961</v>
      </c>
      <c r="B277">
        <v>1997</v>
      </c>
      <c r="C277">
        <v>120</v>
      </c>
      <c r="D277" t="s">
        <v>178</v>
      </c>
      <c r="E277">
        <v>6.3</v>
      </c>
      <c r="F277" t="s">
        <v>198</v>
      </c>
      <c r="G277" s="2" t="s">
        <v>962</v>
      </c>
      <c r="H277" s="6" t="s">
        <v>963</v>
      </c>
    </row>
    <row r="278" spans="1:8" x14ac:dyDescent="0.25">
      <c r="A278" t="s">
        <v>964</v>
      </c>
      <c r="B278">
        <v>2016</v>
      </c>
      <c r="C278">
        <v>81</v>
      </c>
      <c r="D278" t="s">
        <v>178</v>
      </c>
      <c r="E278">
        <v>6.3</v>
      </c>
      <c r="F278" t="s">
        <v>808</v>
      </c>
      <c r="G278" s="2" t="s">
        <v>965</v>
      </c>
      <c r="H278" s="6" t="s">
        <v>966</v>
      </c>
    </row>
    <row r="279" spans="1:8" x14ac:dyDescent="0.25">
      <c r="A279" t="s">
        <v>967</v>
      </c>
      <c r="B279">
        <v>2021</v>
      </c>
      <c r="C279">
        <v>112</v>
      </c>
      <c r="D279" t="s">
        <v>14</v>
      </c>
      <c r="E279">
        <v>6.3</v>
      </c>
      <c r="F279" t="s">
        <v>968</v>
      </c>
      <c r="G279" s="2" t="s">
        <v>969</v>
      </c>
      <c r="H279" s="6" t="s">
        <v>970</v>
      </c>
    </row>
    <row r="280" spans="1:8" x14ac:dyDescent="0.25">
      <c r="A280" t="s">
        <v>971</v>
      </c>
      <c r="B280">
        <v>2015</v>
      </c>
      <c r="C280">
        <v>93</v>
      </c>
      <c r="D280" t="s">
        <v>116</v>
      </c>
      <c r="E280">
        <v>6.3</v>
      </c>
      <c r="F280" t="s">
        <v>728</v>
      </c>
      <c r="G280" s="3">
        <v>52616</v>
      </c>
      <c r="H280" s="6" t="s">
        <v>972</v>
      </c>
    </row>
    <row r="281" spans="1:8" x14ac:dyDescent="0.25">
      <c r="A281" t="s">
        <v>973</v>
      </c>
      <c r="B281">
        <v>2016</v>
      </c>
      <c r="C281">
        <v>86</v>
      </c>
      <c r="D281" t="s">
        <v>329</v>
      </c>
      <c r="E281">
        <v>6.3</v>
      </c>
      <c r="F281" t="s">
        <v>419</v>
      </c>
      <c r="G281" s="2" t="s">
        <v>974</v>
      </c>
      <c r="H281" s="6" t="s">
        <v>975</v>
      </c>
    </row>
    <row r="282" spans="1:8" x14ac:dyDescent="0.25">
      <c r="A282" t="s">
        <v>976</v>
      </c>
      <c r="B282">
        <v>2007</v>
      </c>
      <c r="C282">
        <v>86</v>
      </c>
      <c r="D282" t="s">
        <v>178</v>
      </c>
      <c r="E282">
        <v>6.3</v>
      </c>
      <c r="F282" t="s">
        <v>977</v>
      </c>
      <c r="G282" s="2" t="s">
        <v>978</v>
      </c>
      <c r="H282" s="6" t="s">
        <v>979</v>
      </c>
    </row>
    <row r="283" spans="1:8" x14ac:dyDescent="0.25">
      <c r="A283" t="s">
        <v>980</v>
      </c>
      <c r="B283">
        <v>2010</v>
      </c>
      <c r="C283">
        <v>80</v>
      </c>
      <c r="D283" t="s">
        <v>14</v>
      </c>
      <c r="E283">
        <v>6.3</v>
      </c>
      <c r="F283" t="s">
        <v>981</v>
      </c>
      <c r="G283" s="2" t="s">
        <v>982</v>
      </c>
      <c r="H283" s="6" t="s">
        <v>983</v>
      </c>
    </row>
    <row r="284" spans="1:8" x14ac:dyDescent="0.25">
      <c r="A284" t="s">
        <v>984</v>
      </c>
      <c r="B284">
        <v>2015</v>
      </c>
      <c r="C284">
        <v>103</v>
      </c>
      <c r="D284" t="s">
        <v>985</v>
      </c>
      <c r="E284">
        <v>6.3</v>
      </c>
      <c r="F284" t="s">
        <v>986</v>
      </c>
      <c r="G284" s="3">
        <v>91906</v>
      </c>
      <c r="H284" s="6" t="s">
        <v>987</v>
      </c>
    </row>
    <row r="285" spans="1:8" x14ac:dyDescent="0.25">
      <c r="A285" t="s">
        <v>988</v>
      </c>
      <c r="B285">
        <v>1990</v>
      </c>
      <c r="C285">
        <v>108</v>
      </c>
      <c r="D285" t="s">
        <v>325</v>
      </c>
      <c r="E285">
        <v>6.3</v>
      </c>
      <c r="F285" t="s">
        <v>989</v>
      </c>
      <c r="G285" s="2" t="s">
        <v>990</v>
      </c>
      <c r="H285" s="6" t="s">
        <v>991</v>
      </c>
    </row>
    <row r="286" spans="1:8" x14ac:dyDescent="0.25">
      <c r="A286" t="s">
        <v>992</v>
      </c>
      <c r="B286">
        <v>2009</v>
      </c>
      <c r="C286">
        <v>90</v>
      </c>
      <c r="D286" t="s">
        <v>107</v>
      </c>
      <c r="E286">
        <v>6.3</v>
      </c>
      <c r="F286" t="s">
        <v>993</v>
      </c>
      <c r="G286" s="3">
        <v>68646</v>
      </c>
      <c r="H286" s="6" t="s">
        <v>994</v>
      </c>
    </row>
    <row r="287" spans="1:8" x14ac:dyDescent="0.25">
      <c r="A287" t="s">
        <v>995</v>
      </c>
      <c r="B287">
        <v>2018</v>
      </c>
      <c r="C287">
        <v>97</v>
      </c>
      <c r="D287" t="s">
        <v>446</v>
      </c>
      <c r="E287">
        <v>6.3</v>
      </c>
      <c r="F287" t="s">
        <v>447</v>
      </c>
      <c r="G287" s="3">
        <v>79162</v>
      </c>
      <c r="H287" s="6" t="s">
        <v>996</v>
      </c>
    </row>
    <row r="288" spans="1:8" x14ac:dyDescent="0.25">
      <c r="A288" t="s">
        <v>871</v>
      </c>
      <c r="B288">
        <v>1977</v>
      </c>
      <c r="C288">
        <v>90</v>
      </c>
      <c r="D288" t="s">
        <v>72</v>
      </c>
      <c r="E288">
        <v>6.3</v>
      </c>
      <c r="F288" t="s">
        <v>198</v>
      </c>
      <c r="G288" s="3">
        <v>37196</v>
      </c>
      <c r="H288" s="6" t="s">
        <v>997</v>
      </c>
    </row>
    <row r="289" spans="1:8" x14ac:dyDescent="0.25">
      <c r="A289" t="s">
        <v>998</v>
      </c>
      <c r="B289">
        <v>2013</v>
      </c>
      <c r="C289">
        <v>97</v>
      </c>
      <c r="D289" t="s">
        <v>344</v>
      </c>
      <c r="E289">
        <v>6.3</v>
      </c>
      <c r="F289" t="s">
        <v>999</v>
      </c>
      <c r="G289" s="3">
        <v>77749</v>
      </c>
      <c r="H289" s="6" t="s">
        <v>1000</v>
      </c>
    </row>
    <row r="290" spans="1:8" x14ac:dyDescent="0.25">
      <c r="A290" t="s">
        <v>1001</v>
      </c>
      <c r="B290">
        <v>2009</v>
      </c>
      <c r="C290">
        <v>95</v>
      </c>
      <c r="D290" t="s">
        <v>178</v>
      </c>
      <c r="E290">
        <v>6.3</v>
      </c>
      <c r="F290" t="s">
        <v>417</v>
      </c>
      <c r="G290" s="3">
        <v>49019</v>
      </c>
      <c r="H290" s="6" t="s">
        <v>888</v>
      </c>
    </row>
    <row r="291" spans="1:8" x14ac:dyDescent="0.25">
      <c r="A291" t="s">
        <v>82</v>
      </c>
      <c r="B291">
        <v>1994</v>
      </c>
      <c r="C291">
        <v>123</v>
      </c>
      <c r="D291" t="s">
        <v>516</v>
      </c>
      <c r="E291">
        <v>6.3</v>
      </c>
      <c r="F291" t="s">
        <v>1002</v>
      </c>
      <c r="G291" s="3">
        <v>57239</v>
      </c>
      <c r="H291" s="6" t="s">
        <v>1003</v>
      </c>
    </row>
    <row r="292" spans="1:8" x14ac:dyDescent="0.25">
      <c r="A292" t="s">
        <v>1004</v>
      </c>
      <c r="B292">
        <v>2017</v>
      </c>
      <c r="C292">
        <v>116</v>
      </c>
      <c r="D292" t="s">
        <v>42</v>
      </c>
      <c r="E292">
        <v>6.3</v>
      </c>
      <c r="F292" t="s">
        <v>1005</v>
      </c>
      <c r="G292" s="3">
        <v>26480</v>
      </c>
      <c r="H292" s="6" t="s">
        <v>606</v>
      </c>
    </row>
    <row r="293" spans="1:8" x14ac:dyDescent="0.25">
      <c r="A293" t="s">
        <v>1006</v>
      </c>
      <c r="B293">
        <v>2009</v>
      </c>
      <c r="C293">
        <v>87</v>
      </c>
      <c r="D293" t="s">
        <v>28</v>
      </c>
      <c r="E293">
        <v>6.3</v>
      </c>
      <c r="F293" t="s">
        <v>1007</v>
      </c>
      <c r="G293" s="3">
        <v>82545</v>
      </c>
      <c r="H293" s="6" t="s">
        <v>1008</v>
      </c>
    </row>
    <row r="294" spans="1:8" x14ac:dyDescent="0.25">
      <c r="A294" t="s">
        <v>1009</v>
      </c>
      <c r="B294">
        <v>1985</v>
      </c>
      <c r="C294">
        <v>94</v>
      </c>
      <c r="D294" t="s">
        <v>308</v>
      </c>
      <c r="E294">
        <v>6.3</v>
      </c>
      <c r="F294" t="s">
        <v>1010</v>
      </c>
      <c r="G294" s="3">
        <v>26850</v>
      </c>
      <c r="H294" s="6" t="s">
        <v>1011</v>
      </c>
    </row>
    <row r="295" spans="1:8" x14ac:dyDescent="0.25">
      <c r="A295" t="s">
        <v>1012</v>
      </c>
      <c r="B295">
        <v>2012</v>
      </c>
      <c r="C295">
        <v>88</v>
      </c>
      <c r="D295" t="s">
        <v>438</v>
      </c>
      <c r="E295">
        <v>6.3</v>
      </c>
      <c r="F295" t="s">
        <v>1013</v>
      </c>
      <c r="G295" s="2" t="s">
        <v>1014</v>
      </c>
      <c r="H295" s="6" t="s">
        <v>1015</v>
      </c>
    </row>
    <row r="296" spans="1:8" x14ac:dyDescent="0.25">
      <c r="A296" t="s">
        <v>1016</v>
      </c>
      <c r="B296">
        <v>1993</v>
      </c>
      <c r="C296">
        <v>109</v>
      </c>
      <c r="D296" t="s">
        <v>42</v>
      </c>
      <c r="E296">
        <v>6.3</v>
      </c>
      <c r="F296" t="s">
        <v>1017</v>
      </c>
      <c r="G296" s="3">
        <v>26987</v>
      </c>
      <c r="H296" s="6" t="s">
        <v>1018</v>
      </c>
    </row>
    <row r="297" spans="1:8" x14ac:dyDescent="0.25">
      <c r="A297" t="s">
        <v>1019</v>
      </c>
      <c r="B297">
        <v>2004</v>
      </c>
      <c r="C297">
        <v>106</v>
      </c>
      <c r="D297" t="s">
        <v>369</v>
      </c>
      <c r="E297">
        <v>6.3</v>
      </c>
      <c r="F297" t="s">
        <v>1020</v>
      </c>
      <c r="G297" s="3">
        <v>62706</v>
      </c>
      <c r="H297" s="6" t="s">
        <v>1021</v>
      </c>
    </row>
    <row r="298" spans="1:8" x14ac:dyDescent="0.25">
      <c r="A298" t="s">
        <v>1023</v>
      </c>
      <c r="B298">
        <v>1995</v>
      </c>
      <c r="C298">
        <v>108</v>
      </c>
      <c r="D298" t="s">
        <v>344</v>
      </c>
      <c r="E298">
        <v>6.3</v>
      </c>
      <c r="F298" t="s">
        <v>1024</v>
      </c>
      <c r="G298" s="3">
        <v>28447</v>
      </c>
      <c r="H298" s="6" t="s">
        <v>1025</v>
      </c>
    </row>
    <row r="299" spans="1:8" x14ac:dyDescent="0.25">
      <c r="A299" t="s">
        <v>1026</v>
      </c>
      <c r="B299">
        <v>2009</v>
      </c>
      <c r="C299">
        <v>91</v>
      </c>
      <c r="D299" t="s">
        <v>187</v>
      </c>
      <c r="E299">
        <v>6.3</v>
      </c>
      <c r="F299" t="s">
        <v>607</v>
      </c>
      <c r="G299" s="3">
        <v>68631</v>
      </c>
      <c r="H299" s="6" t="s">
        <v>411</v>
      </c>
    </row>
    <row r="300" spans="1:8" x14ac:dyDescent="0.25">
      <c r="A300" t="s">
        <v>1027</v>
      </c>
      <c r="B300">
        <v>2014</v>
      </c>
      <c r="C300">
        <v>93</v>
      </c>
      <c r="D300" t="s">
        <v>72</v>
      </c>
      <c r="E300">
        <v>6.3</v>
      </c>
      <c r="F300" t="s">
        <v>1028</v>
      </c>
      <c r="G300" s="3">
        <v>37811</v>
      </c>
      <c r="H300" s="6" t="s">
        <v>568</v>
      </c>
    </row>
    <row r="301" spans="1:8" x14ac:dyDescent="0.25">
      <c r="A301" t="s">
        <v>1029</v>
      </c>
      <c r="B301">
        <v>2005</v>
      </c>
      <c r="C301">
        <v>120</v>
      </c>
      <c r="D301" t="s">
        <v>28</v>
      </c>
      <c r="E301">
        <v>6.3</v>
      </c>
      <c r="F301" t="s">
        <v>1030</v>
      </c>
      <c r="G301" s="3">
        <v>34068</v>
      </c>
      <c r="H301" s="6" t="s">
        <v>1031</v>
      </c>
    </row>
    <row r="302" spans="1:8" x14ac:dyDescent="0.25">
      <c r="A302" t="s">
        <v>1032</v>
      </c>
      <c r="B302">
        <v>2012</v>
      </c>
      <c r="C302">
        <v>99</v>
      </c>
      <c r="D302" t="s">
        <v>187</v>
      </c>
      <c r="E302">
        <v>6.3</v>
      </c>
      <c r="F302" t="s">
        <v>514</v>
      </c>
      <c r="G302" s="3">
        <v>39473</v>
      </c>
      <c r="H302" s="6" t="s">
        <v>928</v>
      </c>
    </row>
    <row r="303" spans="1:8" x14ac:dyDescent="0.25">
      <c r="A303" t="s">
        <v>1033</v>
      </c>
      <c r="B303">
        <v>2011</v>
      </c>
      <c r="C303">
        <v>111</v>
      </c>
      <c r="D303" t="s">
        <v>242</v>
      </c>
      <c r="E303">
        <v>6.2</v>
      </c>
      <c r="F303" t="s">
        <v>198</v>
      </c>
      <c r="G303" s="2" t="s">
        <v>1034</v>
      </c>
      <c r="H303" s="6" t="s">
        <v>1035</v>
      </c>
    </row>
    <row r="304" spans="1:8" x14ac:dyDescent="0.25">
      <c r="A304" t="s">
        <v>1036</v>
      </c>
      <c r="B304">
        <v>2010</v>
      </c>
      <c r="C304">
        <v>108</v>
      </c>
      <c r="D304" t="s">
        <v>72</v>
      </c>
      <c r="E304">
        <v>6.2</v>
      </c>
      <c r="F304" t="s">
        <v>1037</v>
      </c>
      <c r="G304" s="3">
        <v>88102</v>
      </c>
      <c r="H304" s="6" t="s">
        <v>78</v>
      </c>
    </row>
    <row r="305" spans="1:8" x14ac:dyDescent="0.25">
      <c r="A305" t="s">
        <v>1038</v>
      </c>
      <c r="B305">
        <v>2015</v>
      </c>
      <c r="C305">
        <v>94</v>
      </c>
      <c r="D305" t="s">
        <v>14</v>
      </c>
      <c r="E305">
        <v>6.2</v>
      </c>
      <c r="F305" t="s">
        <v>254</v>
      </c>
      <c r="G305" s="2" t="s">
        <v>1039</v>
      </c>
      <c r="H305" s="6" t="s">
        <v>1040</v>
      </c>
    </row>
    <row r="306" spans="1:8" x14ac:dyDescent="0.25">
      <c r="A306" t="s">
        <v>1041</v>
      </c>
      <c r="B306">
        <v>2001</v>
      </c>
      <c r="C306">
        <v>90</v>
      </c>
      <c r="D306" t="s">
        <v>178</v>
      </c>
      <c r="E306">
        <v>6.2</v>
      </c>
      <c r="F306" t="s">
        <v>1042</v>
      </c>
      <c r="G306" s="2" t="s">
        <v>1043</v>
      </c>
      <c r="H306" s="6" t="s">
        <v>1044</v>
      </c>
    </row>
    <row r="307" spans="1:8" x14ac:dyDescent="0.25">
      <c r="A307" t="s">
        <v>1045</v>
      </c>
      <c r="B307">
        <v>2011</v>
      </c>
      <c r="C307">
        <v>103</v>
      </c>
      <c r="D307" t="s">
        <v>24</v>
      </c>
      <c r="E307">
        <v>6.2</v>
      </c>
      <c r="F307" t="s">
        <v>1046</v>
      </c>
      <c r="G307" s="2" t="s">
        <v>1047</v>
      </c>
      <c r="H307" s="6" t="s">
        <v>1048</v>
      </c>
    </row>
    <row r="308" spans="1:8" x14ac:dyDescent="0.25">
      <c r="A308" t="s">
        <v>1049</v>
      </c>
      <c r="B308">
        <v>2013</v>
      </c>
      <c r="C308">
        <v>100</v>
      </c>
      <c r="D308" t="s">
        <v>819</v>
      </c>
      <c r="E308">
        <v>6.2</v>
      </c>
      <c r="F308" t="s">
        <v>250</v>
      </c>
      <c r="G308" s="2" t="s">
        <v>1050</v>
      </c>
      <c r="H308" s="6" t="s">
        <v>1051</v>
      </c>
    </row>
    <row r="309" spans="1:8" x14ac:dyDescent="0.25">
      <c r="A309" t="s">
        <v>1052</v>
      </c>
      <c r="B309">
        <v>2014</v>
      </c>
      <c r="C309">
        <v>93</v>
      </c>
      <c r="D309" t="s">
        <v>14</v>
      </c>
      <c r="E309">
        <v>6.2</v>
      </c>
      <c r="F309" t="s">
        <v>981</v>
      </c>
      <c r="G309" s="2" t="s">
        <v>1053</v>
      </c>
      <c r="H309" s="6" t="s">
        <v>630</v>
      </c>
    </row>
    <row r="310" spans="1:8" x14ac:dyDescent="0.25">
      <c r="A310" t="s">
        <v>1054</v>
      </c>
      <c r="B310">
        <v>2005</v>
      </c>
      <c r="C310">
        <v>99</v>
      </c>
      <c r="D310" t="s">
        <v>72</v>
      </c>
      <c r="E310">
        <v>6.2</v>
      </c>
      <c r="F310" t="s">
        <v>1055</v>
      </c>
      <c r="G310" s="3">
        <v>75604</v>
      </c>
      <c r="H310" s="6" t="s">
        <v>1056</v>
      </c>
    </row>
    <row r="311" spans="1:8" x14ac:dyDescent="0.25">
      <c r="A311" t="s">
        <v>1057</v>
      </c>
      <c r="B311">
        <v>2012</v>
      </c>
      <c r="C311">
        <v>113</v>
      </c>
      <c r="D311" t="s">
        <v>187</v>
      </c>
      <c r="E311">
        <v>6.2</v>
      </c>
      <c r="F311" t="s">
        <v>273</v>
      </c>
      <c r="G311" s="2" t="s">
        <v>1058</v>
      </c>
      <c r="H311" s="6" t="s">
        <v>1059</v>
      </c>
    </row>
    <row r="312" spans="1:8" x14ac:dyDescent="0.25">
      <c r="A312" t="s">
        <v>1060</v>
      </c>
      <c r="B312">
        <v>1997</v>
      </c>
      <c r="C312">
        <v>109</v>
      </c>
      <c r="D312" t="s">
        <v>325</v>
      </c>
      <c r="E312">
        <v>6.2</v>
      </c>
      <c r="F312" t="s">
        <v>1061</v>
      </c>
      <c r="G312" s="2" t="s">
        <v>1062</v>
      </c>
      <c r="H312" s="6" t="s">
        <v>1063</v>
      </c>
    </row>
    <row r="313" spans="1:8" x14ac:dyDescent="0.25">
      <c r="A313" t="s">
        <v>1064</v>
      </c>
      <c r="B313">
        <v>1983</v>
      </c>
      <c r="C313">
        <v>84</v>
      </c>
      <c r="D313" t="s">
        <v>30</v>
      </c>
      <c r="E313">
        <v>6.2</v>
      </c>
      <c r="F313" t="s">
        <v>1065</v>
      </c>
      <c r="G313" s="3">
        <v>35167</v>
      </c>
      <c r="H313" s="6" t="s">
        <v>1066</v>
      </c>
    </row>
    <row r="314" spans="1:8" x14ac:dyDescent="0.25">
      <c r="A314" t="s">
        <v>1067</v>
      </c>
      <c r="B314">
        <v>2014</v>
      </c>
      <c r="C314">
        <v>92</v>
      </c>
      <c r="D314" t="s">
        <v>1068</v>
      </c>
      <c r="E314">
        <v>6.2</v>
      </c>
      <c r="F314" t="s">
        <v>1069</v>
      </c>
      <c r="G314" s="2" t="s">
        <v>1070</v>
      </c>
      <c r="H314" s="6" t="s">
        <v>1071</v>
      </c>
    </row>
    <row r="315" spans="1:8" x14ac:dyDescent="0.25">
      <c r="A315" t="s">
        <v>1072</v>
      </c>
      <c r="B315">
        <v>2003</v>
      </c>
      <c r="C315">
        <v>90</v>
      </c>
      <c r="D315" t="s">
        <v>72</v>
      </c>
      <c r="E315">
        <v>6.2</v>
      </c>
      <c r="F315" t="s">
        <v>1073</v>
      </c>
      <c r="G315" s="2" t="s">
        <v>1074</v>
      </c>
      <c r="H315" s="6" t="s">
        <v>1075</v>
      </c>
    </row>
    <row r="316" spans="1:8" x14ac:dyDescent="0.25">
      <c r="A316" t="s">
        <v>1076</v>
      </c>
      <c r="B316">
        <v>2003</v>
      </c>
      <c r="C316">
        <v>98</v>
      </c>
      <c r="D316" t="s">
        <v>754</v>
      </c>
      <c r="E316">
        <v>6.2</v>
      </c>
      <c r="F316" t="s">
        <v>1077</v>
      </c>
      <c r="G316" s="2" t="s">
        <v>1078</v>
      </c>
      <c r="H316" s="6" t="s">
        <v>1079</v>
      </c>
    </row>
    <row r="317" spans="1:8" x14ac:dyDescent="0.25">
      <c r="A317" t="s">
        <v>1080</v>
      </c>
      <c r="B317">
        <v>2019</v>
      </c>
      <c r="C317">
        <v>108</v>
      </c>
      <c r="D317" t="s">
        <v>848</v>
      </c>
      <c r="E317">
        <v>6.2</v>
      </c>
      <c r="F317" t="s">
        <v>526</v>
      </c>
      <c r="G317" s="3">
        <v>80434</v>
      </c>
      <c r="H317" s="6" t="s">
        <v>1081</v>
      </c>
    </row>
    <row r="318" spans="1:8" x14ac:dyDescent="0.25">
      <c r="A318" t="s">
        <v>1082</v>
      </c>
      <c r="B318">
        <v>2014</v>
      </c>
      <c r="C318">
        <v>118</v>
      </c>
      <c r="D318" t="s">
        <v>1083</v>
      </c>
      <c r="E318">
        <v>6.2</v>
      </c>
      <c r="F318" t="s">
        <v>476</v>
      </c>
      <c r="G318" s="3">
        <v>81017</v>
      </c>
      <c r="H318" s="6" t="s">
        <v>1084</v>
      </c>
    </row>
    <row r="319" spans="1:8" x14ac:dyDescent="0.25">
      <c r="A319" t="s">
        <v>1085</v>
      </c>
      <c r="B319">
        <v>2017</v>
      </c>
      <c r="C319">
        <v>91</v>
      </c>
      <c r="D319" t="s">
        <v>42</v>
      </c>
      <c r="E319">
        <v>6.2</v>
      </c>
      <c r="F319" t="s">
        <v>1086</v>
      </c>
      <c r="G319" s="3">
        <v>98054</v>
      </c>
      <c r="H319" s="6" t="s">
        <v>1087</v>
      </c>
    </row>
    <row r="320" spans="1:8" x14ac:dyDescent="0.25">
      <c r="A320" t="s">
        <v>1089</v>
      </c>
      <c r="B320">
        <v>2009</v>
      </c>
      <c r="C320">
        <v>109</v>
      </c>
      <c r="D320" t="s">
        <v>14</v>
      </c>
      <c r="E320">
        <v>6.2</v>
      </c>
      <c r="F320" t="s">
        <v>626</v>
      </c>
      <c r="G320" s="3">
        <v>90324</v>
      </c>
      <c r="H320" s="6" t="s">
        <v>1090</v>
      </c>
    </row>
    <row r="321" spans="1:8" x14ac:dyDescent="0.25">
      <c r="A321" t="s">
        <v>1091</v>
      </c>
      <c r="B321">
        <v>2016</v>
      </c>
      <c r="C321">
        <v>99</v>
      </c>
      <c r="D321" t="s">
        <v>42</v>
      </c>
      <c r="E321">
        <v>6.2</v>
      </c>
      <c r="F321" t="s">
        <v>258</v>
      </c>
      <c r="G321" s="3">
        <v>68575</v>
      </c>
      <c r="H321" s="6" t="s">
        <v>1092</v>
      </c>
    </row>
    <row r="322" spans="1:8" x14ac:dyDescent="0.25">
      <c r="A322" t="s">
        <v>1093</v>
      </c>
      <c r="B322">
        <v>1988</v>
      </c>
      <c r="C322">
        <v>88</v>
      </c>
      <c r="D322" t="s">
        <v>296</v>
      </c>
      <c r="E322">
        <v>6.2</v>
      </c>
      <c r="F322" t="s">
        <v>1094</v>
      </c>
      <c r="G322" s="3">
        <v>41538</v>
      </c>
      <c r="H322" s="6" t="s">
        <v>1095</v>
      </c>
    </row>
    <row r="323" spans="1:8" x14ac:dyDescent="0.25">
      <c r="A323" t="s">
        <v>1096</v>
      </c>
      <c r="B323">
        <v>2005</v>
      </c>
      <c r="C323">
        <v>95</v>
      </c>
      <c r="D323" t="s">
        <v>116</v>
      </c>
      <c r="E323">
        <v>6.2</v>
      </c>
      <c r="F323" t="s">
        <v>1097</v>
      </c>
      <c r="G323" s="3">
        <v>32911</v>
      </c>
      <c r="H323" s="6" t="s">
        <v>137</v>
      </c>
    </row>
    <row r="324" spans="1:8" x14ac:dyDescent="0.25">
      <c r="A324" t="s">
        <v>1098</v>
      </c>
      <c r="B324">
        <v>2007</v>
      </c>
      <c r="C324">
        <v>99</v>
      </c>
      <c r="D324" t="s">
        <v>329</v>
      </c>
      <c r="E324">
        <v>6.2</v>
      </c>
      <c r="F324" t="s">
        <v>1055</v>
      </c>
      <c r="G324" s="3">
        <v>32128</v>
      </c>
      <c r="H324" s="6" t="s">
        <v>568</v>
      </c>
    </row>
    <row r="325" spans="1:8" x14ac:dyDescent="0.25">
      <c r="A325" t="s">
        <v>1099</v>
      </c>
      <c r="B325">
        <v>2007</v>
      </c>
      <c r="C325">
        <v>94</v>
      </c>
      <c r="D325" t="s">
        <v>325</v>
      </c>
      <c r="E325">
        <v>6.2</v>
      </c>
      <c r="F325" t="s">
        <v>1100</v>
      </c>
      <c r="G325" s="2" t="s">
        <v>1101</v>
      </c>
      <c r="H325" s="6" t="s">
        <v>1102</v>
      </c>
    </row>
    <row r="326" spans="1:8" x14ac:dyDescent="0.25">
      <c r="A326" t="s">
        <v>1103</v>
      </c>
      <c r="B326">
        <v>1999</v>
      </c>
      <c r="C326">
        <v>92</v>
      </c>
      <c r="D326" t="s">
        <v>187</v>
      </c>
      <c r="E326">
        <v>6.2</v>
      </c>
      <c r="F326" t="s">
        <v>1104</v>
      </c>
      <c r="G326" s="3">
        <v>45083</v>
      </c>
      <c r="H326" s="6" t="s">
        <v>1105</v>
      </c>
    </row>
    <row r="327" spans="1:8" x14ac:dyDescent="0.25">
      <c r="A327" t="s">
        <v>1106</v>
      </c>
      <c r="B327">
        <v>2006</v>
      </c>
      <c r="C327">
        <v>108</v>
      </c>
      <c r="D327" t="s">
        <v>14</v>
      </c>
      <c r="E327">
        <v>6.2</v>
      </c>
      <c r="F327" t="s">
        <v>738</v>
      </c>
      <c r="G327" s="2" t="s">
        <v>1107</v>
      </c>
      <c r="H327" s="6" t="s">
        <v>1108</v>
      </c>
    </row>
    <row r="328" spans="1:8" x14ac:dyDescent="0.25">
      <c r="A328" t="s">
        <v>1109</v>
      </c>
      <c r="B328">
        <v>2007</v>
      </c>
      <c r="C328">
        <v>85</v>
      </c>
      <c r="D328" t="s">
        <v>72</v>
      </c>
      <c r="E328">
        <v>6.2</v>
      </c>
      <c r="F328" t="s">
        <v>1110</v>
      </c>
      <c r="G328" s="2" t="s">
        <v>1111</v>
      </c>
      <c r="H328" s="6" t="s">
        <v>1112</v>
      </c>
    </row>
    <row r="329" spans="1:8" x14ac:dyDescent="0.25">
      <c r="A329" t="s">
        <v>1113</v>
      </c>
      <c r="B329">
        <v>1994</v>
      </c>
      <c r="C329">
        <v>125</v>
      </c>
      <c r="D329" t="s">
        <v>516</v>
      </c>
      <c r="E329">
        <v>6.2</v>
      </c>
      <c r="F329" t="s">
        <v>1114</v>
      </c>
      <c r="G329" s="3">
        <v>58267</v>
      </c>
      <c r="H329" s="6" t="s">
        <v>1115</v>
      </c>
    </row>
    <row r="330" spans="1:8" x14ac:dyDescent="0.25">
      <c r="A330" t="s">
        <v>1116</v>
      </c>
      <c r="B330">
        <v>2005</v>
      </c>
      <c r="C330">
        <v>93</v>
      </c>
      <c r="D330" t="s">
        <v>344</v>
      </c>
      <c r="E330">
        <v>6.2</v>
      </c>
      <c r="F330" t="s">
        <v>73</v>
      </c>
      <c r="G330" s="3">
        <v>98740</v>
      </c>
      <c r="H330" s="6" t="s">
        <v>1117</v>
      </c>
    </row>
    <row r="331" spans="1:8" x14ac:dyDescent="0.25">
      <c r="A331" t="s">
        <v>1119</v>
      </c>
      <c r="B331">
        <v>1999</v>
      </c>
      <c r="C331">
        <v>103</v>
      </c>
      <c r="D331" t="s">
        <v>178</v>
      </c>
      <c r="E331">
        <v>6.2</v>
      </c>
      <c r="F331" t="s">
        <v>1120</v>
      </c>
      <c r="G331" s="3">
        <v>70383</v>
      </c>
      <c r="H331" s="6" t="s">
        <v>1121</v>
      </c>
    </row>
    <row r="332" spans="1:8" x14ac:dyDescent="0.25">
      <c r="A332" t="s">
        <v>1122</v>
      </c>
      <c r="B332">
        <v>2019</v>
      </c>
      <c r="C332">
        <v>100</v>
      </c>
      <c r="D332" t="s">
        <v>242</v>
      </c>
      <c r="E332">
        <v>6.2</v>
      </c>
      <c r="F332" t="s">
        <v>728</v>
      </c>
      <c r="G332" s="3">
        <v>79669</v>
      </c>
      <c r="H332" s="6" t="s">
        <v>1123</v>
      </c>
    </row>
    <row r="333" spans="1:8" x14ac:dyDescent="0.25">
      <c r="A333" t="s">
        <v>1124</v>
      </c>
      <c r="B333">
        <v>1978</v>
      </c>
      <c r="C333">
        <v>107</v>
      </c>
      <c r="D333" t="s">
        <v>30</v>
      </c>
      <c r="E333">
        <v>6.2</v>
      </c>
      <c r="F333" t="s">
        <v>1125</v>
      </c>
      <c r="G333" s="3">
        <v>33729</v>
      </c>
      <c r="H333" s="6" t="s">
        <v>1126</v>
      </c>
    </row>
    <row r="334" spans="1:8" x14ac:dyDescent="0.25">
      <c r="A334" t="s">
        <v>1127</v>
      </c>
      <c r="B334">
        <v>1988</v>
      </c>
      <c r="C334">
        <v>86</v>
      </c>
      <c r="D334" t="s">
        <v>48</v>
      </c>
      <c r="E334">
        <v>6.2</v>
      </c>
      <c r="F334" t="s">
        <v>1128</v>
      </c>
      <c r="G334" s="3">
        <v>25833</v>
      </c>
      <c r="H334" s="6" t="s">
        <v>1129</v>
      </c>
    </row>
    <row r="335" spans="1:8" x14ac:dyDescent="0.25">
      <c r="A335" t="s">
        <v>1130</v>
      </c>
      <c r="B335">
        <v>2015</v>
      </c>
      <c r="C335">
        <v>98</v>
      </c>
      <c r="D335" t="s">
        <v>349</v>
      </c>
      <c r="E335">
        <v>6.2</v>
      </c>
      <c r="F335" t="s">
        <v>656</v>
      </c>
      <c r="G335" s="3">
        <v>79013</v>
      </c>
      <c r="H335" s="6" t="s">
        <v>1131</v>
      </c>
    </row>
    <row r="336" spans="1:8" x14ac:dyDescent="0.25">
      <c r="A336" t="s">
        <v>1132</v>
      </c>
      <c r="B336">
        <v>1993</v>
      </c>
      <c r="C336">
        <v>120</v>
      </c>
      <c r="D336" t="s">
        <v>1133</v>
      </c>
      <c r="E336">
        <v>6.2</v>
      </c>
      <c r="F336" t="s">
        <v>1134</v>
      </c>
      <c r="G336" s="3">
        <v>26291</v>
      </c>
      <c r="H336" s="6" t="s">
        <v>1135</v>
      </c>
    </row>
    <row r="337" spans="1:8" x14ac:dyDescent="0.25">
      <c r="A337" t="s">
        <v>1137</v>
      </c>
      <c r="B337">
        <v>2003</v>
      </c>
      <c r="C337">
        <v>84</v>
      </c>
      <c r="D337" t="s">
        <v>72</v>
      </c>
      <c r="E337">
        <v>6.1</v>
      </c>
      <c r="F337" t="s">
        <v>1138</v>
      </c>
      <c r="G337" s="2" t="s">
        <v>1139</v>
      </c>
      <c r="H337" s="6" t="s">
        <v>1140</v>
      </c>
    </row>
    <row r="338" spans="1:8" x14ac:dyDescent="0.25">
      <c r="A338" t="s">
        <v>1141</v>
      </c>
      <c r="B338">
        <v>1985</v>
      </c>
      <c r="C338">
        <v>101</v>
      </c>
      <c r="D338" t="s">
        <v>625</v>
      </c>
      <c r="E338">
        <v>6.1</v>
      </c>
      <c r="F338" t="s">
        <v>217</v>
      </c>
      <c r="G338" s="3">
        <v>27500</v>
      </c>
      <c r="H338" s="6" t="s">
        <v>1142</v>
      </c>
    </row>
    <row r="339" spans="1:8" x14ac:dyDescent="0.25">
      <c r="A339" t="s">
        <v>1143</v>
      </c>
      <c r="B339">
        <v>2016</v>
      </c>
      <c r="C339">
        <v>117</v>
      </c>
      <c r="D339" t="s">
        <v>72</v>
      </c>
      <c r="E339">
        <v>6.1</v>
      </c>
      <c r="F339" t="s">
        <v>1144</v>
      </c>
      <c r="G339" s="3">
        <v>99889</v>
      </c>
      <c r="H339" s="6" t="s">
        <v>1145</v>
      </c>
    </row>
    <row r="340" spans="1:8" x14ac:dyDescent="0.25">
      <c r="A340" t="s">
        <v>1146</v>
      </c>
      <c r="B340">
        <v>2019</v>
      </c>
      <c r="C340">
        <v>90</v>
      </c>
      <c r="D340" t="s">
        <v>42</v>
      </c>
      <c r="E340">
        <v>6.1</v>
      </c>
      <c r="F340" t="s">
        <v>1147</v>
      </c>
      <c r="G340" s="2" t="s">
        <v>1148</v>
      </c>
      <c r="H340" s="6" t="s">
        <v>1149</v>
      </c>
    </row>
    <row r="341" spans="1:8" x14ac:dyDescent="0.25">
      <c r="A341" t="s">
        <v>1150</v>
      </c>
      <c r="B341">
        <v>2008</v>
      </c>
      <c r="C341">
        <v>86</v>
      </c>
      <c r="D341" t="s">
        <v>14</v>
      </c>
      <c r="E341">
        <v>6.1</v>
      </c>
      <c r="F341" t="s">
        <v>1151</v>
      </c>
      <c r="G341" s="2" t="s">
        <v>1152</v>
      </c>
      <c r="H341" s="6" t="s">
        <v>1153</v>
      </c>
    </row>
    <row r="342" spans="1:8" x14ac:dyDescent="0.25">
      <c r="A342" t="s">
        <v>1154</v>
      </c>
      <c r="B342">
        <v>2015</v>
      </c>
      <c r="C342">
        <v>97</v>
      </c>
      <c r="D342" t="s">
        <v>14</v>
      </c>
      <c r="E342">
        <v>6.1</v>
      </c>
      <c r="F342" t="s">
        <v>381</v>
      </c>
      <c r="G342" s="2" t="s">
        <v>1155</v>
      </c>
      <c r="H342" s="6" t="s">
        <v>1156</v>
      </c>
    </row>
    <row r="343" spans="1:8" x14ac:dyDescent="0.25">
      <c r="A343" t="s">
        <v>1157</v>
      </c>
      <c r="B343">
        <v>1981</v>
      </c>
      <c r="C343">
        <v>87</v>
      </c>
      <c r="D343" t="s">
        <v>14</v>
      </c>
      <c r="E343">
        <v>6.1</v>
      </c>
      <c r="F343" t="s">
        <v>1158</v>
      </c>
      <c r="G343" s="3">
        <v>72452</v>
      </c>
      <c r="H343" s="6" t="s">
        <v>1159</v>
      </c>
    </row>
    <row r="344" spans="1:8" x14ac:dyDescent="0.25">
      <c r="A344" t="s">
        <v>1160</v>
      </c>
      <c r="B344">
        <v>2019</v>
      </c>
      <c r="C344">
        <v>87</v>
      </c>
      <c r="D344" t="s">
        <v>62</v>
      </c>
      <c r="E344">
        <v>6.1</v>
      </c>
      <c r="F344" t="s">
        <v>639</v>
      </c>
      <c r="G344" s="3">
        <v>88669</v>
      </c>
      <c r="H344" s="6" t="s">
        <v>1161</v>
      </c>
    </row>
    <row r="345" spans="1:8" x14ac:dyDescent="0.25">
      <c r="A345" t="s">
        <v>1162</v>
      </c>
      <c r="B345">
        <v>2013</v>
      </c>
      <c r="C345">
        <v>88</v>
      </c>
      <c r="D345" t="s">
        <v>438</v>
      </c>
      <c r="E345">
        <v>6.1</v>
      </c>
      <c r="F345" t="s">
        <v>607</v>
      </c>
      <c r="G345" s="2" t="s">
        <v>1163</v>
      </c>
      <c r="H345" s="6" t="s">
        <v>1164</v>
      </c>
    </row>
    <row r="346" spans="1:8" x14ac:dyDescent="0.25">
      <c r="A346" t="s">
        <v>1165</v>
      </c>
      <c r="B346">
        <v>2004</v>
      </c>
      <c r="C346">
        <v>94</v>
      </c>
      <c r="D346" t="s">
        <v>325</v>
      </c>
      <c r="E346">
        <v>6.1</v>
      </c>
      <c r="F346" t="s">
        <v>1166</v>
      </c>
      <c r="G346" s="2" t="s">
        <v>1167</v>
      </c>
      <c r="H346" s="6" t="s">
        <v>1168</v>
      </c>
    </row>
    <row r="347" spans="1:8" x14ac:dyDescent="0.25">
      <c r="A347" t="s">
        <v>1169</v>
      </c>
      <c r="B347">
        <v>2012</v>
      </c>
      <c r="C347">
        <v>89</v>
      </c>
      <c r="D347" t="s">
        <v>72</v>
      </c>
      <c r="E347">
        <v>6.1</v>
      </c>
      <c r="F347" t="s">
        <v>1170</v>
      </c>
      <c r="G347" s="3">
        <v>39045</v>
      </c>
      <c r="H347" s="6" t="s">
        <v>836</v>
      </c>
    </row>
    <row r="348" spans="1:8" x14ac:dyDescent="0.25">
      <c r="A348" t="s">
        <v>1171</v>
      </c>
      <c r="B348">
        <v>2008</v>
      </c>
      <c r="C348">
        <v>108</v>
      </c>
      <c r="D348" t="s">
        <v>240</v>
      </c>
      <c r="E348">
        <v>6.1</v>
      </c>
      <c r="F348" t="s">
        <v>1022</v>
      </c>
      <c r="G348" s="3">
        <v>29932</v>
      </c>
      <c r="H348" s="6" t="s">
        <v>587</v>
      </c>
    </row>
    <row r="349" spans="1:8" x14ac:dyDescent="0.25">
      <c r="A349" t="s">
        <v>1172</v>
      </c>
      <c r="B349">
        <v>2016</v>
      </c>
      <c r="C349">
        <v>89</v>
      </c>
      <c r="D349" t="s">
        <v>72</v>
      </c>
      <c r="E349">
        <v>6.1</v>
      </c>
      <c r="F349" t="s">
        <v>1055</v>
      </c>
      <c r="G349" s="3">
        <v>54266</v>
      </c>
      <c r="H349" s="6" t="s">
        <v>1173</v>
      </c>
    </row>
    <row r="350" spans="1:8" x14ac:dyDescent="0.25">
      <c r="A350" t="s">
        <v>1174</v>
      </c>
      <c r="B350">
        <v>2007</v>
      </c>
      <c r="C350">
        <v>89</v>
      </c>
      <c r="D350" t="s">
        <v>14</v>
      </c>
      <c r="E350">
        <v>6.1</v>
      </c>
      <c r="F350" t="s">
        <v>103</v>
      </c>
      <c r="G350" s="3">
        <v>98073</v>
      </c>
      <c r="H350" s="6" t="s">
        <v>1175</v>
      </c>
    </row>
    <row r="351" spans="1:8" x14ac:dyDescent="0.25">
      <c r="A351" t="s">
        <v>1176</v>
      </c>
      <c r="B351">
        <v>2008</v>
      </c>
      <c r="C351">
        <v>110</v>
      </c>
      <c r="D351" t="s">
        <v>178</v>
      </c>
      <c r="E351">
        <v>6.1</v>
      </c>
      <c r="F351" t="s">
        <v>639</v>
      </c>
      <c r="G351" s="2" t="s">
        <v>1177</v>
      </c>
      <c r="H351" s="6" t="s">
        <v>1178</v>
      </c>
    </row>
    <row r="352" spans="1:8" x14ac:dyDescent="0.25">
      <c r="A352" t="s">
        <v>1179</v>
      </c>
      <c r="B352">
        <v>1979</v>
      </c>
      <c r="C352">
        <v>117</v>
      </c>
      <c r="D352" t="s">
        <v>30</v>
      </c>
      <c r="E352">
        <v>6.1</v>
      </c>
      <c r="F352" t="s">
        <v>1180</v>
      </c>
      <c r="G352" s="3">
        <v>41808</v>
      </c>
      <c r="H352" s="6" t="s">
        <v>1181</v>
      </c>
    </row>
    <row r="353" spans="1:8" x14ac:dyDescent="0.25">
      <c r="A353" t="s">
        <v>1182</v>
      </c>
      <c r="B353">
        <v>1986</v>
      </c>
      <c r="C353">
        <v>86</v>
      </c>
      <c r="D353" t="s">
        <v>296</v>
      </c>
      <c r="E353">
        <v>6.1</v>
      </c>
      <c r="F353" t="s">
        <v>1183</v>
      </c>
      <c r="G353" s="3">
        <v>37388</v>
      </c>
      <c r="H353" s="6" t="s">
        <v>1184</v>
      </c>
    </row>
    <row r="354" spans="1:8" x14ac:dyDescent="0.25">
      <c r="A354" t="s">
        <v>1185</v>
      </c>
      <c r="B354">
        <v>1998</v>
      </c>
      <c r="C354">
        <v>106</v>
      </c>
      <c r="D354" t="s">
        <v>62</v>
      </c>
      <c r="E354">
        <v>6.1</v>
      </c>
      <c r="F354" t="s">
        <v>577</v>
      </c>
      <c r="G354" s="3">
        <v>39064</v>
      </c>
      <c r="H354" s="6" t="s">
        <v>1186</v>
      </c>
    </row>
    <row r="355" spans="1:8" x14ac:dyDescent="0.25">
      <c r="A355" t="s">
        <v>1187</v>
      </c>
      <c r="B355">
        <v>1998</v>
      </c>
      <c r="C355">
        <v>108</v>
      </c>
      <c r="D355" t="s">
        <v>107</v>
      </c>
      <c r="E355">
        <v>6.1</v>
      </c>
      <c r="F355" t="s">
        <v>25</v>
      </c>
      <c r="G355" s="3">
        <v>61502</v>
      </c>
      <c r="H355" s="6" t="s">
        <v>1188</v>
      </c>
    </row>
    <row r="356" spans="1:8" x14ac:dyDescent="0.25">
      <c r="A356" t="s">
        <v>302</v>
      </c>
      <c r="B356">
        <v>1985</v>
      </c>
      <c r="C356">
        <v>93</v>
      </c>
      <c r="D356" t="s">
        <v>187</v>
      </c>
      <c r="E356">
        <v>6.1</v>
      </c>
      <c r="F356" t="s">
        <v>1158</v>
      </c>
      <c r="G356" s="3">
        <v>28520</v>
      </c>
      <c r="H356" s="6" t="s">
        <v>1189</v>
      </c>
    </row>
    <row r="357" spans="1:8" x14ac:dyDescent="0.25">
      <c r="A357" t="s">
        <v>1190</v>
      </c>
      <c r="B357">
        <v>1983</v>
      </c>
      <c r="C357">
        <v>93</v>
      </c>
      <c r="D357" t="s">
        <v>72</v>
      </c>
      <c r="E357">
        <v>6.1</v>
      </c>
      <c r="F357" t="s">
        <v>1010</v>
      </c>
      <c r="G357" s="3">
        <v>48166</v>
      </c>
      <c r="H357" s="6" t="s">
        <v>630</v>
      </c>
    </row>
    <row r="358" spans="1:8" x14ac:dyDescent="0.25">
      <c r="A358" t="s">
        <v>1191</v>
      </c>
      <c r="B358">
        <v>2012</v>
      </c>
      <c r="C358">
        <v>82</v>
      </c>
      <c r="D358" t="s">
        <v>62</v>
      </c>
      <c r="E358">
        <v>6.1</v>
      </c>
      <c r="F358" t="s">
        <v>993</v>
      </c>
      <c r="G358" s="3">
        <v>51960</v>
      </c>
      <c r="H358" s="6" t="s">
        <v>1192</v>
      </c>
    </row>
    <row r="359" spans="1:8" x14ac:dyDescent="0.25">
      <c r="A359" t="s">
        <v>1193</v>
      </c>
      <c r="B359">
        <v>2011</v>
      </c>
      <c r="C359">
        <v>88</v>
      </c>
      <c r="D359" t="s">
        <v>67</v>
      </c>
      <c r="E359">
        <v>6.1</v>
      </c>
      <c r="F359" t="s">
        <v>1194</v>
      </c>
      <c r="G359" s="3">
        <v>65843</v>
      </c>
      <c r="H359" s="6" t="s">
        <v>1195</v>
      </c>
    </row>
    <row r="360" spans="1:8" x14ac:dyDescent="0.25">
      <c r="A360" t="s">
        <v>1196</v>
      </c>
      <c r="B360">
        <v>2006</v>
      </c>
      <c r="C360">
        <v>102</v>
      </c>
      <c r="D360" t="s">
        <v>39</v>
      </c>
      <c r="E360">
        <v>6.1</v>
      </c>
      <c r="F360" t="s">
        <v>31</v>
      </c>
      <c r="G360" s="3">
        <v>36331</v>
      </c>
      <c r="H360" s="6" t="s">
        <v>1197</v>
      </c>
    </row>
    <row r="361" spans="1:8" x14ac:dyDescent="0.25">
      <c r="A361" t="s">
        <v>1199</v>
      </c>
      <c r="B361">
        <v>2011</v>
      </c>
      <c r="C361">
        <v>86</v>
      </c>
      <c r="D361" t="s">
        <v>116</v>
      </c>
      <c r="E361">
        <v>6.1</v>
      </c>
      <c r="F361" t="s">
        <v>1200</v>
      </c>
      <c r="G361" s="3">
        <v>47548</v>
      </c>
      <c r="H361" s="6" t="s">
        <v>1201</v>
      </c>
    </row>
    <row r="362" spans="1:8" x14ac:dyDescent="0.25">
      <c r="A362" t="s">
        <v>1202</v>
      </c>
      <c r="B362">
        <v>2021</v>
      </c>
      <c r="C362">
        <v>98</v>
      </c>
      <c r="D362" t="s">
        <v>67</v>
      </c>
      <c r="E362">
        <v>6</v>
      </c>
      <c r="F362" t="s">
        <v>1203</v>
      </c>
      <c r="G362" s="3">
        <v>63822</v>
      </c>
      <c r="H362" s="6" t="s">
        <v>1204</v>
      </c>
    </row>
    <row r="363" spans="1:8" x14ac:dyDescent="0.25">
      <c r="A363" t="s">
        <v>1205</v>
      </c>
      <c r="B363">
        <v>2003</v>
      </c>
      <c r="C363">
        <v>89</v>
      </c>
      <c r="D363" t="s">
        <v>30</v>
      </c>
      <c r="E363">
        <v>6</v>
      </c>
      <c r="F363" t="s">
        <v>621</v>
      </c>
      <c r="G363" s="3">
        <v>89420</v>
      </c>
      <c r="H363" s="6" t="s">
        <v>1206</v>
      </c>
    </row>
    <row r="364" spans="1:8" x14ac:dyDescent="0.25">
      <c r="A364" t="s">
        <v>94</v>
      </c>
      <c r="B364">
        <v>2007</v>
      </c>
      <c r="C364">
        <v>109</v>
      </c>
      <c r="D364" t="s">
        <v>30</v>
      </c>
      <c r="E364">
        <v>6</v>
      </c>
      <c r="F364" t="s">
        <v>621</v>
      </c>
      <c r="G364" s="2" t="s">
        <v>1207</v>
      </c>
      <c r="H364" s="6" t="s">
        <v>1208</v>
      </c>
    </row>
    <row r="365" spans="1:8" x14ac:dyDescent="0.25">
      <c r="A365" t="s">
        <v>1209</v>
      </c>
      <c r="B365">
        <v>2016</v>
      </c>
      <c r="C365">
        <v>97</v>
      </c>
      <c r="D365" t="s">
        <v>14</v>
      </c>
      <c r="E365">
        <v>6</v>
      </c>
      <c r="F365" t="s">
        <v>1210</v>
      </c>
      <c r="G365" s="3">
        <v>97224</v>
      </c>
      <c r="H365" s="6" t="s">
        <v>1211</v>
      </c>
    </row>
    <row r="366" spans="1:8" x14ac:dyDescent="0.25">
      <c r="A366" t="s">
        <v>1212</v>
      </c>
      <c r="B366">
        <v>1984</v>
      </c>
      <c r="C366">
        <v>91</v>
      </c>
      <c r="D366" t="s">
        <v>72</v>
      </c>
      <c r="E366">
        <v>6</v>
      </c>
      <c r="F366" t="s">
        <v>1213</v>
      </c>
      <c r="G366" s="3">
        <v>55244</v>
      </c>
      <c r="H366" s="6" t="s">
        <v>1214</v>
      </c>
    </row>
    <row r="367" spans="1:8" x14ac:dyDescent="0.25">
      <c r="A367" t="s">
        <v>1215</v>
      </c>
      <c r="B367">
        <v>2008</v>
      </c>
      <c r="C367">
        <v>100</v>
      </c>
      <c r="D367" t="s">
        <v>14</v>
      </c>
      <c r="E367">
        <v>6</v>
      </c>
      <c r="F367" t="s">
        <v>1216</v>
      </c>
      <c r="G367" s="3">
        <v>67602</v>
      </c>
      <c r="H367" s="6" t="s">
        <v>145</v>
      </c>
    </row>
    <row r="368" spans="1:8" x14ac:dyDescent="0.25">
      <c r="A368" t="s">
        <v>1217</v>
      </c>
      <c r="B368">
        <v>2016</v>
      </c>
      <c r="C368">
        <v>108</v>
      </c>
      <c r="D368" t="s">
        <v>325</v>
      </c>
      <c r="E368">
        <v>6</v>
      </c>
      <c r="F368" t="s">
        <v>895</v>
      </c>
      <c r="G368" s="2" t="s">
        <v>1218</v>
      </c>
      <c r="H368" s="6" t="s">
        <v>1219</v>
      </c>
    </row>
    <row r="369" spans="1:8" x14ac:dyDescent="0.25">
      <c r="A369" t="s">
        <v>1220</v>
      </c>
      <c r="B369">
        <v>2018</v>
      </c>
      <c r="C369">
        <v>92</v>
      </c>
      <c r="D369" t="s">
        <v>14</v>
      </c>
      <c r="E369">
        <v>6</v>
      </c>
      <c r="F369" t="s">
        <v>1221</v>
      </c>
      <c r="G369" s="3">
        <v>35242</v>
      </c>
      <c r="H369" s="6" t="s">
        <v>1222</v>
      </c>
    </row>
    <row r="370" spans="1:8" x14ac:dyDescent="0.25">
      <c r="A370" t="s">
        <v>1223</v>
      </c>
      <c r="B370">
        <v>1997</v>
      </c>
      <c r="C370">
        <v>105</v>
      </c>
      <c r="D370" t="s">
        <v>9</v>
      </c>
      <c r="E370">
        <v>6</v>
      </c>
      <c r="F370" t="s">
        <v>236</v>
      </c>
      <c r="G370" s="3">
        <v>53560</v>
      </c>
      <c r="H370" s="6" t="s">
        <v>1224</v>
      </c>
    </row>
    <row r="371" spans="1:8" x14ac:dyDescent="0.25">
      <c r="A371" t="s">
        <v>1225</v>
      </c>
      <c r="B371">
        <v>1986</v>
      </c>
      <c r="C371">
        <v>86</v>
      </c>
      <c r="D371" t="s">
        <v>72</v>
      </c>
      <c r="E371">
        <v>6</v>
      </c>
      <c r="F371" t="s">
        <v>1226</v>
      </c>
      <c r="G371" s="3">
        <v>47804</v>
      </c>
      <c r="H371" s="6" t="s">
        <v>1227</v>
      </c>
    </row>
    <row r="372" spans="1:8" x14ac:dyDescent="0.25">
      <c r="A372" t="s">
        <v>1228</v>
      </c>
      <c r="B372">
        <v>2019</v>
      </c>
      <c r="C372">
        <v>109</v>
      </c>
      <c r="D372" t="s">
        <v>325</v>
      </c>
      <c r="E372">
        <v>6</v>
      </c>
      <c r="F372" t="s">
        <v>1229</v>
      </c>
      <c r="G372" s="3">
        <v>55880</v>
      </c>
      <c r="H372" s="6" t="s">
        <v>1230</v>
      </c>
    </row>
    <row r="373" spans="1:8" x14ac:dyDescent="0.25">
      <c r="A373" t="s">
        <v>1231</v>
      </c>
      <c r="B373">
        <v>2009</v>
      </c>
      <c r="C373">
        <v>90</v>
      </c>
      <c r="D373" t="s">
        <v>14</v>
      </c>
      <c r="E373">
        <v>6</v>
      </c>
      <c r="F373" t="s">
        <v>1232</v>
      </c>
      <c r="G373" s="2" t="s">
        <v>1233</v>
      </c>
      <c r="H373" s="6" t="s">
        <v>1234</v>
      </c>
    </row>
    <row r="374" spans="1:8" x14ac:dyDescent="0.25">
      <c r="A374" t="s">
        <v>1235</v>
      </c>
      <c r="B374">
        <v>1987</v>
      </c>
      <c r="C374">
        <v>92</v>
      </c>
      <c r="D374" t="s">
        <v>48</v>
      </c>
      <c r="E374">
        <v>6</v>
      </c>
      <c r="F374" t="s">
        <v>1236</v>
      </c>
      <c r="G374" s="3">
        <v>27039</v>
      </c>
      <c r="H374" s="6" t="s">
        <v>1237</v>
      </c>
    </row>
    <row r="375" spans="1:8" x14ac:dyDescent="0.25">
      <c r="A375" t="s">
        <v>1238</v>
      </c>
      <c r="B375">
        <v>2011</v>
      </c>
      <c r="C375">
        <v>114</v>
      </c>
      <c r="D375" t="s">
        <v>42</v>
      </c>
      <c r="E375">
        <v>6</v>
      </c>
      <c r="F375" t="s">
        <v>578</v>
      </c>
      <c r="G375" s="2" t="s">
        <v>1239</v>
      </c>
      <c r="H375" s="6" t="s">
        <v>1240</v>
      </c>
    </row>
    <row r="376" spans="1:8" x14ac:dyDescent="0.25">
      <c r="A376" t="s">
        <v>1241</v>
      </c>
      <c r="B376">
        <v>1984</v>
      </c>
      <c r="C376">
        <v>114</v>
      </c>
      <c r="D376" t="s">
        <v>325</v>
      </c>
      <c r="E376">
        <v>6</v>
      </c>
      <c r="F376" t="s">
        <v>1242</v>
      </c>
      <c r="G376" s="3">
        <v>35640</v>
      </c>
      <c r="H376" s="6" t="s">
        <v>1243</v>
      </c>
    </row>
    <row r="377" spans="1:8" x14ac:dyDescent="0.25">
      <c r="A377" t="s">
        <v>1244</v>
      </c>
      <c r="B377">
        <v>2013</v>
      </c>
      <c r="C377">
        <v>96</v>
      </c>
      <c r="D377" t="s">
        <v>9</v>
      </c>
      <c r="E377">
        <v>6</v>
      </c>
      <c r="F377" t="s">
        <v>1245</v>
      </c>
      <c r="G377" s="3">
        <v>41967</v>
      </c>
      <c r="H377" s="6" t="s">
        <v>836</v>
      </c>
    </row>
    <row r="378" spans="1:8" x14ac:dyDescent="0.25">
      <c r="A378" t="s">
        <v>1246</v>
      </c>
      <c r="B378">
        <v>2005</v>
      </c>
      <c r="C378">
        <v>94</v>
      </c>
      <c r="D378" t="s">
        <v>30</v>
      </c>
      <c r="E378">
        <v>5.9</v>
      </c>
      <c r="F378" t="s">
        <v>1247</v>
      </c>
      <c r="G378" s="2" t="s">
        <v>1248</v>
      </c>
      <c r="H378" s="6" t="s">
        <v>1249</v>
      </c>
    </row>
    <row r="379" spans="1:8" x14ac:dyDescent="0.25">
      <c r="A379" t="s">
        <v>1250</v>
      </c>
      <c r="B379">
        <v>2020</v>
      </c>
      <c r="C379">
        <v>95</v>
      </c>
      <c r="D379" t="s">
        <v>325</v>
      </c>
      <c r="E379">
        <v>5.9</v>
      </c>
      <c r="F379" t="s">
        <v>1251</v>
      </c>
      <c r="G379" s="3">
        <v>88253</v>
      </c>
      <c r="H379" s="6" t="s">
        <v>1252</v>
      </c>
    </row>
    <row r="380" spans="1:8" x14ac:dyDescent="0.25">
      <c r="A380" t="s">
        <v>1253</v>
      </c>
      <c r="B380">
        <v>2012</v>
      </c>
      <c r="C380">
        <v>105</v>
      </c>
      <c r="D380" t="s">
        <v>438</v>
      </c>
      <c r="E380">
        <v>5.9</v>
      </c>
      <c r="F380" t="s">
        <v>950</v>
      </c>
      <c r="G380" s="2" t="s">
        <v>1254</v>
      </c>
      <c r="H380" s="6" t="s">
        <v>1255</v>
      </c>
    </row>
    <row r="381" spans="1:8" x14ac:dyDescent="0.25">
      <c r="A381" t="s">
        <v>641</v>
      </c>
      <c r="B381">
        <v>2021</v>
      </c>
      <c r="C381">
        <v>91</v>
      </c>
      <c r="D381" t="s">
        <v>72</v>
      </c>
      <c r="E381">
        <v>5.9</v>
      </c>
      <c r="F381" t="s">
        <v>1256</v>
      </c>
      <c r="G381" s="3">
        <v>70762</v>
      </c>
      <c r="H381" s="6" t="s">
        <v>1257</v>
      </c>
    </row>
    <row r="382" spans="1:8" x14ac:dyDescent="0.25">
      <c r="A382" t="s">
        <v>787</v>
      </c>
      <c r="B382">
        <v>1972</v>
      </c>
      <c r="C382">
        <v>84</v>
      </c>
      <c r="D382" t="s">
        <v>369</v>
      </c>
      <c r="E382">
        <v>5.9</v>
      </c>
      <c r="F382" t="s">
        <v>198</v>
      </c>
      <c r="G382" s="3">
        <v>38780</v>
      </c>
      <c r="H382" s="6" t="s">
        <v>1258</v>
      </c>
    </row>
    <row r="383" spans="1:8" x14ac:dyDescent="0.25">
      <c r="A383" t="s">
        <v>1179</v>
      </c>
      <c r="B383">
        <v>2005</v>
      </c>
      <c r="C383">
        <v>90</v>
      </c>
      <c r="D383" t="s">
        <v>30</v>
      </c>
      <c r="E383">
        <v>5.9</v>
      </c>
      <c r="F383" t="s">
        <v>1259</v>
      </c>
      <c r="G383" s="2" t="s">
        <v>1260</v>
      </c>
      <c r="H383" s="6" t="s">
        <v>1261</v>
      </c>
    </row>
    <row r="384" spans="1:8" x14ac:dyDescent="0.25">
      <c r="A384" t="s">
        <v>1262</v>
      </c>
      <c r="B384">
        <v>2019</v>
      </c>
      <c r="C384">
        <v>106</v>
      </c>
      <c r="D384" t="s">
        <v>14</v>
      </c>
      <c r="E384">
        <v>5.9</v>
      </c>
      <c r="F384" t="s">
        <v>1263</v>
      </c>
      <c r="G384" s="3">
        <v>80369</v>
      </c>
      <c r="H384" s="6" t="s">
        <v>1264</v>
      </c>
    </row>
    <row r="385" spans="1:8" x14ac:dyDescent="0.25">
      <c r="A385" t="s">
        <v>1265</v>
      </c>
      <c r="B385">
        <v>2011</v>
      </c>
      <c r="C385">
        <v>92</v>
      </c>
      <c r="D385" t="s">
        <v>72</v>
      </c>
      <c r="E385">
        <v>5.9</v>
      </c>
      <c r="F385" t="s">
        <v>1266</v>
      </c>
      <c r="G385" s="2" t="s">
        <v>1267</v>
      </c>
      <c r="H385" s="6" t="s">
        <v>1131</v>
      </c>
    </row>
    <row r="386" spans="1:8" x14ac:dyDescent="0.25">
      <c r="A386" t="s">
        <v>1268</v>
      </c>
      <c r="B386">
        <v>2004</v>
      </c>
      <c r="C386">
        <v>91</v>
      </c>
      <c r="D386" t="s">
        <v>14</v>
      </c>
      <c r="E386">
        <v>5.9</v>
      </c>
      <c r="F386" t="s">
        <v>672</v>
      </c>
      <c r="G386" s="2" t="s">
        <v>1269</v>
      </c>
      <c r="H386" s="6" t="s">
        <v>1270</v>
      </c>
    </row>
    <row r="387" spans="1:8" x14ac:dyDescent="0.25">
      <c r="A387" t="s">
        <v>1271</v>
      </c>
      <c r="B387">
        <v>2016</v>
      </c>
      <c r="C387">
        <v>90</v>
      </c>
      <c r="D387" t="s">
        <v>24</v>
      </c>
      <c r="E387">
        <v>5.9</v>
      </c>
      <c r="F387" t="s">
        <v>1272</v>
      </c>
      <c r="G387" s="3">
        <v>39049</v>
      </c>
      <c r="H387" s="6" t="s">
        <v>141</v>
      </c>
    </row>
    <row r="388" spans="1:8" x14ac:dyDescent="0.25">
      <c r="A388" t="s">
        <v>53</v>
      </c>
      <c r="B388">
        <v>1976</v>
      </c>
      <c r="C388">
        <v>134</v>
      </c>
      <c r="D388" t="s">
        <v>1273</v>
      </c>
      <c r="E388">
        <v>5.9</v>
      </c>
      <c r="F388" t="s">
        <v>1274</v>
      </c>
      <c r="G388" s="3">
        <v>34098</v>
      </c>
      <c r="H388" s="6" t="s">
        <v>1275</v>
      </c>
    </row>
    <row r="389" spans="1:8" x14ac:dyDescent="0.25">
      <c r="A389" t="s">
        <v>1276</v>
      </c>
      <c r="B389">
        <v>2009</v>
      </c>
      <c r="C389">
        <v>98</v>
      </c>
      <c r="D389" t="s">
        <v>24</v>
      </c>
      <c r="E389">
        <v>5.9</v>
      </c>
      <c r="F389" t="s">
        <v>1277</v>
      </c>
      <c r="G389" s="3">
        <v>79762</v>
      </c>
      <c r="H389" s="6" t="s">
        <v>1278</v>
      </c>
    </row>
    <row r="390" spans="1:8" x14ac:dyDescent="0.25">
      <c r="A390" t="s">
        <v>1279</v>
      </c>
      <c r="B390">
        <v>2005</v>
      </c>
      <c r="C390">
        <v>118</v>
      </c>
      <c r="D390" t="s">
        <v>675</v>
      </c>
      <c r="E390">
        <v>5.9</v>
      </c>
      <c r="F390" t="s">
        <v>1030</v>
      </c>
      <c r="G390" s="2" t="s">
        <v>1280</v>
      </c>
      <c r="H390" s="6" t="s">
        <v>1281</v>
      </c>
    </row>
    <row r="391" spans="1:8" x14ac:dyDescent="0.25">
      <c r="A391" t="s">
        <v>1282</v>
      </c>
      <c r="B391">
        <v>2005</v>
      </c>
      <c r="C391">
        <v>101</v>
      </c>
      <c r="D391" t="s">
        <v>178</v>
      </c>
      <c r="E391">
        <v>5.9</v>
      </c>
      <c r="F391" t="s">
        <v>1283</v>
      </c>
      <c r="G391" s="3">
        <v>87067</v>
      </c>
      <c r="H391" s="6" t="s">
        <v>1284</v>
      </c>
    </row>
    <row r="392" spans="1:8" x14ac:dyDescent="0.25">
      <c r="A392" t="s">
        <v>1285</v>
      </c>
      <c r="B392">
        <v>2012</v>
      </c>
      <c r="C392">
        <v>92</v>
      </c>
      <c r="D392" t="s">
        <v>14</v>
      </c>
      <c r="E392">
        <v>5.9</v>
      </c>
      <c r="F392" t="s">
        <v>1286</v>
      </c>
      <c r="G392" s="3">
        <v>61689</v>
      </c>
      <c r="H392" s="6" t="s">
        <v>1287</v>
      </c>
    </row>
    <row r="393" spans="1:8" x14ac:dyDescent="0.25">
      <c r="A393" t="s">
        <v>1288</v>
      </c>
      <c r="B393">
        <v>2008</v>
      </c>
      <c r="C393">
        <v>90</v>
      </c>
      <c r="D393" t="s">
        <v>320</v>
      </c>
      <c r="E393">
        <v>5.9</v>
      </c>
      <c r="F393" t="s">
        <v>1289</v>
      </c>
      <c r="G393" s="3">
        <v>77800</v>
      </c>
      <c r="H393" s="6" t="s">
        <v>1290</v>
      </c>
    </row>
    <row r="394" spans="1:8" x14ac:dyDescent="0.25">
      <c r="A394" t="s">
        <v>1291</v>
      </c>
      <c r="B394">
        <v>2007</v>
      </c>
      <c r="C394">
        <v>93</v>
      </c>
      <c r="D394" t="s">
        <v>14</v>
      </c>
      <c r="E394">
        <v>5.9</v>
      </c>
      <c r="F394" t="s">
        <v>738</v>
      </c>
      <c r="G394" s="2" t="s">
        <v>1292</v>
      </c>
      <c r="H394" s="6" t="s">
        <v>1293</v>
      </c>
    </row>
    <row r="395" spans="1:8" x14ac:dyDescent="0.25">
      <c r="A395" t="s">
        <v>1294</v>
      </c>
      <c r="B395">
        <v>1990</v>
      </c>
      <c r="C395">
        <v>84</v>
      </c>
      <c r="D395" t="s">
        <v>72</v>
      </c>
      <c r="E395">
        <v>5.9</v>
      </c>
      <c r="F395" t="s">
        <v>1295</v>
      </c>
      <c r="G395" s="3">
        <v>54569</v>
      </c>
      <c r="H395" s="6" t="s">
        <v>1296</v>
      </c>
    </row>
    <row r="396" spans="1:8" x14ac:dyDescent="0.25">
      <c r="A396" t="s">
        <v>1297</v>
      </c>
      <c r="B396">
        <v>2015</v>
      </c>
      <c r="C396">
        <v>110</v>
      </c>
      <c r="D396" t="s">
        <v>83</v>
      </c>
      <c r="E396">
        <v>5.9</v>
      </c>
      <c r="F396" t="s">
        <v>1298</v>
      </c>
      <c r="G396" s="3">
        <v>58423</v>
      </c>
      <c r="H396" s="6" t="s">
        <v>1025</v>
      </c>
    </row>
    <row r="397" spans="1:8" x14ac:dyDescent="0.25">
      <c r="A397" t="s">
        <v>1299</v>
      </c>
      <c r="B397">
        <v>2008</v>
      </c>
      <c r="C397">
        <v>104</v>
      </c>
      <c r="D397" t="s">
        <v>35</v>
      </c>
      <c r="E397">
        <v>5.9</v>
      </c>
      <c r="F397" t="s">
        <v>1300</v>
      </c>
      <c r="G397" s="3">
        <v>92694</v>
      </c>
      <c r="H397" s="6" t="s">
        <v>1301</v>
      </c>
    </row>
    <row r="398" spans="1:8" x14ac:dyDescent="0.25">
      <c r="A398" t="s">
        <v>1302</v>
      </c>
      <c r="B398">
        <v>2008</v>
      </c>
      <c r="C398">
        <v>89</v>
      </c>
      <c r="D398" t="s">
        <v>344</v>
      </c>
      <c r="E398">
        <v>5.9</v>
      </c>
      <c r="F398" t="s">
        <v>981</v>
      </c>
      <c r="G398" s="3">
        <v>75253</v>
      </c>
      <c r="H398" s="6" t="s">
        <v>1303</v>
      </c>
    </row>
    <row r="399" spans="1:8" x14ac:dyDescent="0.25">
      <c r="A399" t="s">
        <v>1304</v>
      </c>
      <c r="B399">
        <v>2007</v>
      </c>
      <c r="C399">
        <v>98</v>
      </c>
      <c r="D399" t="s">
        <v>369</v>
      </c>
      <c r="E399">
        <v>5.9</v>
      </c>
      <c r="F399" t="s">
        <v>1170</v>
      </c>
      <c r="G399" s="3">
        <v>35242</v>
      </c>
      <c r="H399" s="6" t="s">
        <v>1305</v>
      </c>
    </row>
    <row r="400" spans="1:8" x14ac:dyDescent="0.25">
      <c r="A400" t="s">
        <v>1306</v>
      </c>
      <c r="B400">
        <v>2008</v>
      </c>
      <c r="C400">
        <v>95</v>
      </c>
      <c r="D400" t="s">
        <v>369</v>
      </c>
      <c r="E400">
        <v>5.9</v>
      </c>
      <c r="F400" t="s">
        <v>1307</v>
      </c>
      <c r="G400" s="3">
        <v>32857</v>
      </c>
      <c r="H400" s="6" t="s">
        <v>1308</v>
      </c>
    </row>
    <row r="401" spans="1:8" x14ac:dyDescent="0.25">
      <c r="A401" t="s">
        <v>1309</v>
      </c>
      <c r="B401">
        <v>2019</v>
      </c>
      <c r="C401">
        <v>92</v>
      </c>
      <c r="D401" t="s">
        <v>284</v>
      </c>
      <c r="E401">
        <v>5.9</v>
      </c>
      <c r="F401" t="s">
        <v>1310</v>
      </c>
      <c r="G401" s="3">
        <v>27470</v>
      </c>
      <c r="H401" s="6" t="s">
        <v>1311</v>
      </c>
    </row>
    <row r="402" spans="1:8" x14ac:dyDescent="0.25">
      <c r="A402" t="s">
        <v>1312</v>
      </c>
      <c r="B402">
        <v>2021</v>
      </c>
      <c r="C402">
        <v>108</v>
      </c>
      <c r="D402" t="s">
        <v>42</v>
      </c>
      <c r="E402">
        <v>5.8</v>
      </c>
      <c r="F402" t="s">
        <v>254</v>
      </c>
      <c r="G402" s="2" t="s">
        <v>1313</v>
      </c>
      <c r="H402" s="6" t="s">
        <v>1314</v>
      </c>
    </row>
    <row r="403" spans="1:8" x14ac:dyDescent="0.25">
      <c r="A403" t="s">
        <v>1315</v>
      </c>
      <c r="B403">
        <v>1999</v>
      </c>
      <c r="C403">
        <v>122</v>
      </c>
      <c r="D403" t="s">
        <v>438</v>
      </c>
      <c r="E403">
        <v>5.8</v>
      </c>
      <c r="F403" t="s">
        <v>1316</v>
      </c>
      <c r="G403" s="2" t="s">
        <v>1317</v>
      </c>
      <c r="H403" s="6" t="s">
        <v>1318</v>
      </c>
    </row>
    <row r="404" spans="1:8" x14ac:dyDescent="0.25">
      <c r="A404" t="s">
        <v>1319</v>
      </c>
      <c r="B404">
        <v>2021</v>
      </c>
      <c r="C404">
        <v>148</v>
      </c>
      <c r="D404" t="s">
        <v>162</v>
      </c>
      <c r="E404">
        <v>5.8</v>
      </c>
      <c r="F404" t="s">
        <v>262</v>
      </c>
      <c r="G404" s="2" t="s">
        <v>1320</v>
      </c>
      <c r="H404" s="6" t="s">
        <v>1321</v>
      </c>
    </row>
    <row r="405" spans="1:8" x14ac:dyDescent="0.25">
      <c r="A405" t="s">
        <v>1322</v>
      </c>
      <c r="B405">
        <v>1997</v>
      </c>
      <c r="C405">
        <v>101</v>
      </c>
      <c r="D405" t="s">
        <v>178</v>
      </c>
      <c r="E405">
        <v>5.8</v>
      </c>
      <c r="F405" t="s">
        <v>1323</v>
      </c>
      <c r="G405" s="2" t="s">
        <v>1324</v>
      </c>
      <c r="H405" s="6" t="s">
        <v>1325</v>
      </c>
    </row>
    <row r="406" spans="1:8" x14ac:dyDescent="0.25">
      <c r="A406" t="s">
        <v>1326</v>
      </c>
      <c r="B406">
        <v>1995</v>
      </c>
      <c r="C406">
        <v>108</v>
      </c>
      <c r="D406" t="s">
        <v>325</v>
      </c>
      <c r="E406">
        <v>5.8</v>
      </c>
      <c r="F406" t="s">
        <v>1327</v>
      </c>
      <c r="G406" s="3">
        <v>82499</v>
      </c>
      <c r="H406" s="6" t="s">
        <v>1328</v>
      </c>
    </row>
    <row r="407" spans="1:8" x14ac:dyDescent="0.25">
      <c r="A407" t="s">
        <v>220</v>
      </c>
      <c r="B407">
        <v>2013</v>
      </c>
      <c r="C407">
        <v>100</v>
      </c>
      <c r="D407" t="s">
        <v>39</v>
      </c>
      <c r="E407">
        <v>5.8</v>
      </c>
      <c r="F407" t="s">
        <v>1329</v>
      </c>
      <c r="G407" s="2" t="s">
        <v>1330</v>
      </c>
      <c r="H407" s="6" t="s">
        <v>1331</v>
      </c>
    </row>
    <row r="408" spans="1:8" x14ac:dyDescent="0.25">
      <c r="A408" t="s">
        <v>1332</v>
      </c>
      <c r="B408">
        <v>2009</v>
      </c>
      <c r="C408">
        <v>104</v>
      </c>
      <c r="D408" t="s">
        <v>9</v>
      </c>
      <c r="E408">
        <v>5.8</v>
      </c>
      <c r="F408" t="s">
        <v>396</v>
      </c>
      <c r="G408" s="3">
        <v>99872</v>
      </c>
      <c r="H408" s="6" t="s">
        <v>1333</v>
      </c>
    </row>
    <row r="409" spans="1:8" x14ac:dyDescent="0.25">
      <c r="A409" t="s">
        <v>1334</v>
      </c>
      <c r="B409">
        <v>2006</v>
      </c>
      <c r="C409">
        <v>93</v>
      </c>
      <c r="D409" t="s">
        <v>72</v>
      </c>
      <c r="E409">
        <v>5.8</v>
      </c>
      <c r="F409" t="s">
        <v>613</v>
      </c>
      <c r="G409" s="2" t="s">
        <v>1335</v>
      </c>
      <c r="H409" s="6" t="s">
        <v>1336</v>
      </c>
    </row>
    <row r="410" spans="1:8" x14ac:dyDescent="0.25">
      <c r="A410" t="s">
        <v>1337</v>
      </c>
      <c r="B410">
        <v>2018</v>
      </c>
      <c r="C410">
        <v>113</v>
      </c>
      <c r="D410" t="s">
        <v>504</v>
      </c>
      <c r="E410">
        <v>5.8</v>
      </c>
      <c r="F410" t="s">
        <v>1338</v>
      </c>
      <c r="G410" s="3">
        <v>38180</v>
      </c>
      <c r="H410" s="6" t="s">
        <v>1339</v>
      </c>
    </row>
    <row r="411" spans="1:8" x14ac:dyDescent="0.25">
      <c r="A411" t="s">
        <v>1340</v>
      </c>
      <c r="B411">
        <v>2000</v>
      </c>
      <c r="C411">
        <v>112</v>
      </c>
      <c r="D411" t="s">
        <v>325</v>
      </c>
      <c r="E411">
        <v>5.8</v>
      </c>
      <c r="F411" t="s">
        <v>1341</v>
      </c>
      <c r="G411" s="2" t="s">
        <v>1342</v>
      </c>
      <c r="H411" s="6" t="s">
        <v>1343</v>
      </c>
    </row>
    <row r="412" spans="1:8" x14ac:dyDescent="0.25">
      <c r="A412" t="s">
        <v>1344</v>
      </c>
      <c r="B412">
        <v>1978</v>
      </c>
      <c r="C412">
        <v>116</v>
      </c>
      <c r="D412" t="s">
        <v>320</v>
      </c>
      <c r="E412">
        <v>5.8</v>
      </c>
      <c r="F412" t="s">
        <v>1345</v>
      </c>
      <c r="G412" s="3">
        <v>80981</v>
      </c>
      <c r="H412" s="6" t="s">
        <v>1346</v>
      </c>
    </row>
    <row r="413" spans="1:8" x14ac:dyDescent="0.25">
      <c r="A413" t="s">
        <v>1347</v>
      </c>
      <c r="B413">
        <v>2004</v>
      </c>
      <c r="C413">
        <v>113</v>
      </c>
      <c r="D413" t="s">
        <v>325</v>
      </c>
      <c r="E413">
        <v>5.8</v>
      </c>
      <c r="F413" t="s">
        <v>1348</v>
      </c>
      <c r="G413" s="2" t="s">
        <v>1349</v>
      </c>
      <c r="H413" s="6" t="s">
        <v>1350</v>
      </c>
    </row>
    <row r="414" spans="1:8" x14ac:dyDescent="0.25">
      <c r="A414" t="s">
        <v>1351</v>
      </c>
      <c r="B414">
        <v>2013</v>
      </c>
      <c r="C414">
        <v>130</v>
      </c>
      <c r="D414" t="s">
        <v>451</v>
      </c>
      <c r="E414">
        <v>5.8</v>
      </c>
      <c r="F414" t="s">
        <v>1352</v>
      </c>
      <c r="G414" s="2" t="s">
        <v>1353</v>
      </c>
      <c r="H414" s="6" t="s">
        <v>1354</v>
      </c>
    </row>
    <row r="415" spans="1:8" x14ac:dyDescent="0.25">
      <c r="A415" t="s">
        <v>1355</v>
      </c>
      <c r="B415">
        <v>2016</v>
      </c>
      <c r="C415">
        <v>108</v>
      </c>
      <c r="D415" t="s">
        <v>519</v>
      </c>
      <c r="E415">
        <v>5.8</v>
      </c>
      <c r="F415" t="s">
        <v>1356</v>
      </c>
      <c r="G415" s="3">
        <v>58473</v>
      </c>
      <c r="H415" s="6" t="s">
        <v>1357</v>
      </c>
    </row>
    <row r="416" spans="1:8" x14ac:dyDescent="0.25">
      <c r="A416" t="s">
        <v>1358</v>
      </c>
      <c r="B416">
        <v>1999</v>
      </c>
      <c r="C416">
        <v>82</v>
      </c>
      <c r="D416" t="s">
        <v>116</v>
      </c>
      <c r="E416">
        <v>5.8</v>
      </c>
      <c r="F416" t="s">
        <v>1158</v>
      </c>
      <c r="G416" s="3">
        <v>63404</v>
      </c>
      <c r="H416" s="6" t="s">
        <v>1359</v>
      </c>
    </row>
    <row r="417" spans="1:8" x14ac:dyDescent="0.25">
      <c r="A417" t="s">
        <v>1360</v>
      </c>
      <c r="B417">
        <v>2010</v>
      </c>
      <c r="C417">
        <v>103</v>
      </c>
      <c r="D417" t="s">
        <v>28</v>
      </c>
      <c r="E417">
        <v>5.8</v>
      </c>
      <c r="F417" t="s">
        <v>1361</v>
      </c>
      <c r="G417" s="2" t="s">
        <v>1362</v>
      </c>
      <c r="H417" s="6" t="s">
        <v>1363</v>
      </c>
    </row>
    <row r="418" spans="1:8" x14ac:dyDescent="0.25">
      <c r="A418" t="s">
        <v>1364</v>
      </c>
      <c r="B418">
        <v>2006</v>
      </c>
      <c r="C418">
        <v>91</v>
      </c>
      <c r="D418" t="s">
        <v>72</v>
      </c>
      <c r="E418">
        <v>5.8</v>
      </c>
      <c r="F418" t="s">
        <v>1365</v>
      </c>
      <c r="G418" s="3">
        <v>75052</v>
      </c>
      <c r="H418" s="6" t="s">
        <v>1366</v>
      </c>
    </row>
    <row r="419" spans="1:8" x14ac:dyDescent="0.25">
      <c r="A419" t="s">
        <v>1367</v>
      </c>
      <c r="B419">
        <v>2019</v>
      </c>
      <c r="C419">
        <v>86</v>
      </c>
      <c r="D419" t="s">
        <v>1368</v>
      </c>
      <c r="E419">
        <v>5.8</v>
      </c>
      <c r="F419" t="s">
        <v>1369</v>
      </c>
      <c r="G419" s="3">
        <v>42739</v>
      </c>
      <c r="H419" s="6" t="s">
        <v>1370</v>
      </c>
    </row>
    <row r="420" spans="1:8" x14ac:dyDescent="0.25">
      <c r="A420" t="s">
        <v>1371</v>
      </c>
      <c r="B420">
        <v>2011</v>
      </c>
      <c r="C420">
        <v>112</v>
      </c>
      <c r="D420" t="s">
        <v>83</v>
      </c>
      <c r="E420">
        <v>5.8</v>
      </c>
      <c r="F420" t="s">
        <v>1118</v>
      </c>
      <c r="G420" s="3">
        <v>37690</v>
      </c>
      <c r="H420" s="6" t="s">
        <v>836</v>
      </c>
    </row>
    <row r="421" spans="1:8" x14ac:dyDescent="0.25">
      <c r="A421" t="s">
        <v>1373</v>
      </c>
      <c r="B421">
        <v>2012</v>
      </c>
      <c r="C421">
        <v>116</v>
      </c>
      <c r="D421" t="s">
        <v>30</v>
      </c>
      <c r="E421">
        <v>5.8</v>
      </c>
      <c r="F421" t="s">
        <v>540</v>
      </c>
      <c r="G421" s="3">
        <v>65385</v>
      </c>
      <c r="H421" s="6" t="s">
        <v>888</v>
      </c>
    </row>
    <row r="422" spans="1:8" x14ac:dyDescent="0.25">
      <c r="A422" t="s">
        <v>1374</v>
      </c>
      <c r="B422">
        <v>2016</v>
      </c>
      <c r="C422">
        <v>92</v>
      </c>
      <c r="D422" t="s">
        <v>325</v>
      </c>
      <c r="E422">
        <v>5.8</v>
      </c>
      <c r="F422" t="s">
        <v>1375</v>
      </c>
      <c r="G422" s="3">
        <v>44898</v>
      </c>
      <c r="H422" s="6" t="s">
        <v>1376</v>
      </c>
    </row>
    <row r="423" spans="1:8" x14ac:dyDescent="0.25">
      <c r="A423" t="s">
        <v>1377</v>
      </c>
      <c r="B423">
        <v>1996</v>
      </c>
      <c r="C423">
        <v>93</v>
      </c>
      <c r="D423" t="s">
        <v>48</v>
      </c>
      <c r="E423">
        <v>5.8</v>
      </c>
      <c r="F423" t="s">
        <v>458</v>
      </c>
      <c r="G423" s="3">
        <v>32352</v>
      </c>
      <c r="H423" s="6" t="s">
        <v>1378</v>
      </c>
    </row>
    <row r="424" spans="1:8" x14ac:dyDescent="0.25">
      <c r="A424" t="s">
        <v>1379</v>
      </c>
      <c r="B424">
        <v>2009</v>
      </c>
      <c r="C424">
        <v>92</v>
      </c>
      <c r="D424" t="s">
        <v>42</v>
      </c>
      <c r="E424">
        <v>5.8</v>
      </c>
      <c r="F424" t="s">
        <v>1380</v>
      </c>
      <c r="G424" s="3">
        <v>63528</v>
      </c>
      <c r="H424" s="6" t="s">
        <v>1381</v>
      </c>
    </row>
    <row r="425" spans="1:8" x14ac:dyDescent="0.25">
      <c r="A425" t="s">
        <v>1382</v>
      </c>
      <c r="B425">
        <v>2010</v>
      </c>
      <c r="C425">
        <v>96</v>
      </c>
      <c r="D425" t="s">
        <v>325</v>
      </c>
      <c r="E425">
        <v>5.8</v>
      </c>
      <c r="F425" t="s">
        <v>686</v>
      </c>
      <c r="G425" s="2" t="s">
        <v>1383</v>
      </c>
      <c r="H425" s="6" t="s">
        <v>1384</v>
      </c>
    </row>
    <row r="426" spans="1:8" x14ac:dyDescent="0.25">
      <c r="A426" t="s">
        <v>1385</v>
      </c>
      <c r="B426">
        <v>2003</v>
      </c>
      <c r="C426">
        <v>98</v>
      </c>
      <c r="D426" t="s">
        <v>14</v>
      </c>
      <c r="E426">
        <v>5.8</v>
      </c>
      <c r="F426" t="s">
        <v>1386</v>
      </c>
      <c r="G426" s="2" t="s">
        <v>1387</v>
      </c>
      <c r="H426" s="6" t="s">
        <v>1388</v>
      </c>
    </row>
    <row r="427" spans="1:8" x14ac:dyDescent="0.25">
      <c r="A427" t="s">
        <v>1389</v>
      </c>
      <c r="B427">
        <v>1997</v>
      </c>
      <c r="C427">
        <v>110</v>
      </c>
      <c r="D427" t="s">
        <v>24</v>
      </c>
      <c r="E427">
        <v>5.8</v>
      </c>
      <c r="F427" t="s">
        <v>1316</v>
      </c>
      <c r="G427" s="3">
        <v>29056</v>
      </c>
      <c r="H427" s="6" t="s">
        <v>1390</v>
      </c>
    </row>
    <row r="428" spans="1:8" x14ac:dyDescent="0.25">
      <c r="A428" t="s">
        <v>1391</v>
      </c>
      <c r="B428">
        <v>1995</v>
      </c>
      <c r="C428">
        <v>88</v>
      </c>
      <c r="D428" t="s">
        <v>187</v>
      </c>
      <c r="E428">
        <v>5.8</v>
      </c>
      <c r="F428" t="s">
        <v>1392</v>
      </c>
      <c r="G428" s="3">
        <v>43600</v>
      </c>
      <c r="H428" s="6" t="s">
        <v>1393</v>
      </c>
    </row>
    <row r="429" spans="1:8" x14ac:dyDescent="0.25">
      <c r="A429" t="s">
        <v>1394</v>
      </c>
      <c r="B429">
        <v>2003</v>
      </c>
      <c r="C429">
        <v>79</v>
      </c>
      <c r="D429" t="s">
        <v>504</v>
      </c>
      <c r="E429">
        <v>5.8</v>
      </c>
      <c r="F429" t="s">
        <v>1395</v>
      </c>
      <c r="G429" s="3">
        <v>55121</v>
      </c>
      <c r="H429" s="6" t="s">
        <v>1396</v>
      </c>
    </row>
    <row r="430" spans="1:8" x14ac:dyDescent="0.25">
      <c r="A430" t="s">
        <v>1397</v>
      </c>
      <c r="B430">
        <v>1998</v>
      </c>
      <c r="C430">
        <v>86</v>
      </c>
      <c r="D430" t="s">
        <v>72</v>
      </c>
      <c r="E430">
        <v>5.8</v>
      </c>
      <c r="F430" t="s">
        <v>1158</v>
      </c>
      <c r="G430" s="3">
        <v>78797</v>
      </c>
      <c r="H430" s="6" t="s">
        <v>1398</v>
      </c>
    </row>
    <row r="431" spans="1:8" x14ac:dyDescent="0.25">
      <c r="A431" t="s">
        <v>1399</v>
      </c>
      <c r="B431">
        <v>1988</v>
      </c>
      <c r="C431">
        <v>88</v>
      </c>
      <c r="D431" t="s">
        <v>72</v>
      </c>
      <c r="E431">
        <v>5.8</v>
      </c>
      <c r="F431" t="s">
        <v>1400</v>
      </c>
      <c r="G431" s="3">
        <v>55673</v>
      </c>
      <c r="H431" s="6" t="s">
        <v>1401</v>
      </c>
    </row>
    <row r="432" spans="1:8" x14ac:dyDescent="0.25">
      <c r="A432" t="s">
        <v>1402</v>
      </c>
      <c r="B432">
        <v>2008</v>
      </c>
      <c r="C432">
        <v>92</v>
      </c>
      <c r="D432" t="s">
        <v>72</v>
      </c>
      <c r="E432">
        <v>5.8</v>
      </c>
      <c r="F432" t="s">
        <v>1403</v>
      </c>
      <c r="G432" s="2" t="s">
        <v>1404</v>
      </c>
      <c r="H432" s="6" t="s">
        <v>1405</v>
      </c>
    </row>
    <row r="433" spans="1:8" x14ac:dyDescent="0.25">
      <c r="A433" t="s">
        <v>1406</v>
      </c>
      <c r="B433">
        <v>2006</v>
      </c>
      <c r="C433">
        <v>87</v>
      </c>
      <c r="D433" t="s">
        <v>296</v>
      </c>
      <c r="E433">
        <v>5.8</v>
      </c>
      <c r="F433" t="s">
        <v>1407</v>
      </c>
      <c r="G433" s="3">
        <v>41390</v>
      </c>
      <c r="H433" s="6" t="s">
        <v>145</v>
      </c>
    </row>
    <row r="434" spans="1:8" x14ac:dyDescent="0.25">
      <c r="A434" t="s">
        <v>1408</v>
      </c>
      <c r="B434">
        <v>2011</v>
      </c>
      <c r="C434">
        <v>83</v>
      </c>
      <c r="D434" t="s">
        <v>178</v>
      </c>
      <c r="E434">
        <v>5.8</v>
      </c>
      <c r="F434" t="s">
        <v>1409</v>
      </c>
      <c r="G434" s="3">
        <v>97454</v>
      </c>
      <c r="H434" s="6" t="s">
        <v>1410</v>
      </c>
    </row>
    <row r="435" spans="1:8" x14ac:dyDescent="0.25">
      <c r="A435" t="s">
        <v>1411</v>
      </c>
      <c r="B435">
        <v>2005</v>
      </c>
      <c r="C435">
        <v>90</v>
      </c>
      <c r="D435" t="s">
        <v>42</v>
      </c>
      <c r="E435">
        <v>5.8</v>
      </c>
      <c r="F435" t="s">
        <v>1412</v>
      </c>
      <c r="G435" s="3">
        <v>27993</v>
      </c>
      <c r="H435" s="6" t="s">
        <v>1413</v>
      </c>
    </row>
    <row r="436" spans="1:8" x14ac:dyDescent="0.25">
      <c r="A436" t="s">
        <v>1415</v>
      </c>
      <c r="B436">
        <v>2013</v>
      </c>
      <c r="C436">
        <v>85</v>
      </c>
      <c r="D436" t="s">
        <v>344</v>
      </c>
      <c r="E436">
        <v>5.7</v>
      </c>
      <c r="F436" t="s">
        <v>895</v>
      </c>
      <c r="G436" s="2" t="s">
        <v>1416</v>
      </c>
      <c r="H436" s="6" t="s">
        <v>1417</v>
      </c>
    </row>
    <row r="437" spans="1:8" x14ac:dyDescent="0.25">
      <c r="A437" t="s">
        <v>1418</v>
      </c>
      <c r="B437">
        <v>2021</v>
      </c>
      <c r="C437">
        <v>88</v>
      </c>
      <c r="D437" t="s">
        <v>62</v>
      </c>
      <c r="E437">
        <v>5.7</v>
      </c>
      <c r="F437" t="s">
        <v>861</v>
      </c>
      <c r="G437" s="3">
        <v>52337</v>
      </c>
      <c r="H437" s="6" t="s">
        <v>1419</v>
      </c>
    </row>
    <row r="438" spans="1:8" x14ac:dyDescent="0.25">
      <c r="A438" t="s">
        <v>1420</v>
      </c>
      <c r="B438">
        <v>2018</v>
      </c>
      <c r="C438">
        <v>103</v>
      </c>
      <c r="D438" t="s">
        <v>14</v>
      </c>
      <c r="E438">
        <v>5.7</v>
      </c>
      <c r="F438" t="s">
        <v>861</v>
      </c>
      <c r="G438" s="3">
        <v>64055</v>
      </c>
      <c r="H438" s="6" t="s">
        <v>1421</v>
      </c>
    </row>
    <row r="439" spans="1:8" x14ac:dyDescent="0.25">
      <c r="A439" t="s">
        <v>1422</v>
      </c>
      <c r="B439">
        <v>1992</v>
      </c>
      <c r="C439">
        <v>86</v>
      </c>
      <c r="D439" t="s">
        <v>519</v>
      </c>
      <c r="E439">
        <v>5.7</v>
      </c>
      <c r="F439" t="s">
        <v>1423</v>
      </c>
      <c r="G439" s="3">
        <v>47048</v>
      </c>
      <c r="H439" s="6" t="s">
        <v>1424</v>
      </c>
    </row>
    <row r="440" spans="1:8" x14ac:dyDescent="0.25">
      <c r="A440" t="s">
        <v>1425</v>
      </c>
      <c r="B440">
        <v>2016</v>
      </c>
      <c r="C440">
        <v>91</v>
      </c>
      <c r="D440" t="s">
        <v>451</v>
      </c>
      <c r="E440">
        <v>5.7</v>
      </c>
      <c r="F440" t="s">
        <v>1426</v>
      </c>
      <c r="G440" s="3">
        <v>78499</v>
      </c>
      <c r="H440" s="6" t="s">
        <v>1427</v>
      </c>
    </row>
    <row r="441" spans="1:8" x14ac:dyDescent="0.25">
      <c r="A441" t="s">
        <v>1428</v>
      </c>
      <c r="B441">
        <v>2017</v>
      </c>
      <c r="C441">
        <v>92</v>
      </c>
      <c r="D441" t="s">
        <v>14</v>
      </c>
      <c r="E441">
        <v>5.7</v>
      </c>
      <c r="F441" t="s">
        <v>914</v>
      </c>
      <c r="G441" s="3">
        <v>83738</v>
      </c>
      <c r="H441" s="6" t="s">
        <v>1429</v>
      </c>
    </row>
    <row r="442" spans="1:8" x14ac:dyDescent="0.25">
      <c r="A442" t="s">
        <v>1430</v>
      </c>
      <c r="B442">
        <v>2003</v>
      </c>
      <c r="C442">
        <v>97</v>
      </c>
      <c r="D442" t="s">
        <v>261</v>
      </c>
      <c r="E442">
        <v>5.7</v>
      </c>
      <c r="F442" t="s">
        <v>1431</v>
      </c>
      <c r="G442" s="2" t="s">
        <v>1432</v>
      </c>
      <c r="H442" s="6" t="s">
        <v>1433</v>
      </c>
    </row>
    <row r="443" spans="1:8" x14ac:dyDescent="0.25">
      <c r="A443" t="s">
        <v>1434</v>
      </c>
      <c r="B443">
        <v>2014</v>
      </c>
      <c r="C443">
        <v>88</v>
      </c>
      <c r="D443" t="s">
        <v>116</v>
      </c>
      <c r="E443">
        <v>5.7</v>
      </c>
      <c r="F443" t="s">
        <v>1435</v>
      </c>
      <c r="G443" s="3">
        <v>27279</v>
      </c>
      <c r="H443" s="6" t="s">
        <v>176</v>
      </c>
    </row>
    <row r="444" spans="1:8" x14ac:dyDescent="0.25">
      <c r="A444" t="s">
        <v>1436</v>
      </c>
      <c r="B444">
        <v>2013</v>
      </c>
      <c r="C444">
        <v>106</v>
      </c>
      <c r="D444" t="s">
        <v>72</v>
      </c>
      <c r="E444">
        <v>5.7</v>
      </c>
      <c r="F444" t="s">
        <v>1037</v>
      </c>
      <c r="G444" s="3">
        <v>31209</v>
      </c>
      <c r="H444" s="6" t="s">
        <v>587</v>
      </c>
    </row>
    <row r="445" spans="1:8" x14ac:dyDescent="0.25">
      <c r="A445" t="s">
        <v>818</v>
      </c>
      <c r="B445">
        <v>2019</v>
      </c>
      <c r="C445">
        <v>101</v>
      </c>
      <c r="D445" t="s">
        <v>14</v>
      </c>
      <c r="E445">
        <v>5.7</v>
      </c>
      <c r="F445" t="s">
        <v>1437</v>
      </c>
      <c r="G445" s="3">
        <v>94828</v>
      </c>
      <c r="H445" s="6" t="s">
        <v>1438</v>
      </c>
    </row>
    <row r="446" spans="1:8" x14ac:dyDescent="0.25">
      <c r="A446" t="s">
        <v>1439</v>
      </c>
      <c r="B446">
        <v>2011</v>
      </c>
      <c r="C446">
        <v>87</v>
      </c>
      <c r="D446" t="s">
        <v>438</v>
      </c>
      <c r="E446">
        <v>5.7</v>
      </c>
      <c r="F446" t="s">
        <v>999</v>
      </c>
      <c r="G446" s="2" t="s">
        <v>1440</v>
      </c>
      <c r="H446" s="6" t="s">
        <v>1441</v>
      </c>
    </row>
    <row r="447" spans="1:8" x14ac:dyDescent="0.25">
      <c r="A447" t="s">
        <v>1442</v>
      </c>
      <c r="B447">
        <v>2010</v>
      </c>
      <c r="C447">
        <v>82</v>
      </c>
      <c r="D447" t="s">
        <v>187</v>
      </c>
      <c r="E447">
        <v>5.7</v>
      </c>
      <c r="F447" t="s">
        <v>1443</v>
      </c>
      <c r="G447" s="3">
        <v>38724</v>
      </c>
      <c r="H447" s="6" t="s">
        <v>888</v>
      </c>
    </row>
    <row r="448" spans="1:8" x14ac:dyDescent="0.25">
      <c r="A448" t="s">
        <v>720</v>
      </c>
      <c r="B448">
        <v>2019</v>
      </c>
      <c r="C448">
        <v>90</v>
      </c>
      <c r="D448" t="s">
        <v>83</v>
      </c>
      <c r="E448">
        <v>5.7</v>
      </c>
      <c r="F448" t="s">
        <v>1444</v>
      </c>
      <c r="G448" s="3">
        <v>54170</v>
      </c>
      <c r="H448" s="6" t="s">
        <v>1445</v>
      </c>
    </row>
    <row r="449" spans="1:8" x14ac:dyDescent="0.25">
      <c r="A449" t="s">
        <v>1446</v>
      </c>
      <c r="B449">
        <v>2014</v>
      </c>
      <c r="C449">
        <v>100</v>
      </c>
      <c r="D449" t="s">
        <v>72</v>
      </c>
      <c r="E449">
        <v>5.7</v>
      </c>
      <c r="F449" t="s">
        <v>1447</v>
      </c>
      <c r="G449" s="3">
        <v>25286</v>
      </c>
      <c r="H449" s="6" t="s">
        <v>176</v>
      </c>
    </row>
    <row r="450" spans="1:8" x14ac:dyDescent="0.25">
      <c r="A450" t="s">
        <v>1448</v>
      </c>
      <c r="B450">
        <v>2010</v>
      </c>
      <c r="C450">
        <v>91</v>
      </c>
      <c r="D450" t="s">
        <v>178</v>
      </c>
      <c r="E450">
        <v>5.7</v>
      </c>
      <c r="F450" t="s">
        <v>1449</v>
      </c>
      <c r="G450" s="2" t="s">
        <v>1450</v>
      </c>
      <c r="H450" s="6" t="s">
        <v>1451</v>
      </c>
    </row>
    <row r="451" spans="1:8" x14ac:dyDescent="0.25">
      <c r="A451" t="s">
        <v>1452</v>
      </c>
      <c r="B451">
        <v>2010</v>
      </c>
      <c r="C451">
        <v>87</v>
      </c>
      <c r="D451" t="s">
        <v>14</v>
      </c>
      <c r="E451">
        <v>5.7</v>
      </c>
      <c r="F451" t="s">
        <v>1028</v>
      </c>
      <c r="G451" s="3">
        <v>50953</v>
      </c>
      <c r="H451" s="6" t="s">
        <v>1453</v>
      </c>
    </row>
    <row r="452" spans="1:8" x14ac:dyDescent="0.25">
      <c r="A452" t="s">
        <v>1454</v>
      </c>
      <c r="B452">
        <v>2014</v>
      </c>
      <c r="C452">
        <v>87</v>
      </c>
      <c r="D452" t="s">
        <v>28</v>
      </c>
      <c r="E452">
        <v>5.7</v>
      </c>
      <c r="F452" t="s">
        <v>648</v>
      </c>
      <c r="G452" s="3">
        <v>26685</v>
      </c>
      <c r="H452" s="6" t="s">
        <v>568</v>
      </c>
    </row>
    <row r="453" spans="1:8" x14ac:dyDescent="0.25">
      <c r="A453" t="s">
        <v>1455</v>
      </c>
      <c r="B453">
        <v>2012</v>
      </c>
      <c r="C453">
        <v>84</v>
      </c>
      <c r="D453" t="s">
        <v>344</v>
      </c>
      <c r="E453">
        <v>5.7</v>
      </c>
      <c r="F453" t="s">
        <v>1456</v>
      </c>
      <c r="G453" s="3">
        <v>28565</v>
      </c>
      <c r="H453" s="6" t="s">
        <v>606</v>
      </c>
    </row>
    <row r="454" spans="1:8" x14ac:dyDescent="0.25">
      <c r="A454" t="s">
        <v>1457</v>
      </c>
      <c r="B454">
        <v>2018</v>
      </c>
      <c r="C454">
        <v>113</v>
      </c>
      <c r="D454" t="s">
        <v>325</v>
      </c>
      <c r="E454">
        <v>5.6</v>
      </c>
      <c r="F454" t="s">
        <v>1458</v>
      </c>
      <c r="G454" s="2" t="s">
        <v>1459</v>
      </c>
      <c r="H454" s="6" t="s">
        <v>1460</v>
      </c>
    </row>
    <row r="455" spans="1:8" x14ac:dyDescent="0.25">
      <c r="A455" t="s">
        <v>1461</v>
      </c>
      <c r="B455">
        <v>2022</v>
      </c>
      <c r="C455">
        <v>93</v>
      </c>
      <c r="D455" t="s">
        <v>307</v>
      </c>
      <c r="E455">
        <v>5.6</v>
      </c>
      <c r="F455" t="s">
        <v>1462</v>
      </c>
      <c r="G455" s="3">
        <v>34598</v>
      </c>
      <c r="H455" s="6" t="s">
        <v>1463</v>
      </c>
    </row>
    <row r="456" spans="1:8" x14ac:dyDescent="0.25">
      <c r="A456" t="s">
        <v>1464</v>
      </c>
      <c r="B456">
        <v>2002</v>
      </c>
      <c r="C456">
        <v>91</v>
      </c>
      <c r="D456" t="s">
        <v>14</v>
      </c>
      <c r="E456">
        <v>5.6</v>
      </c>
      <c r="F456" t="s">
        <v>1465</v>
      </c>
      <c r="G456" s="2" t="s">
        <v>1466</v>
      </c>
      <c r="H456" s="6" t="s">
        <v>1467</v>
      </c>
    </row>
    <row r="457" spans="1:8" x14ac:dyDescent="0.25">
      <c r="A457" t="s">
        <v>1468</v>
      </c>
      <c r="B457">
        <v>2000</v>
      </c>
      <c r="C457">
        <v>116</v>
      </c>
      <c r="D457" t="s">
        <v>178</v>
      </c>
      <c r="E457">
        <v>5.6</v>
      </c>
      <c r="F457" t="s">
        <v>198</v>
      </c>
      <c r="G457" s="2" t="s">
        <v>1469</v>
      </c>
      <c r="H457" s="6" t="s">
        <v>1470</v>
      </c>
    </row>
    <row r="458" spans="1:8" x14ac:dyDescent="0.25">
      <c r="A458" t="s">
        <v>1471</v>
      </c>
      <c r="B458">
        <v>1998</v>
      </c>
      <c r="C458">
        <v>99</v>
      </c>
      <c r="D458" t="s">
        <v>14</v>
      </c>
      <c r="E458">
        <v>5.6</v>
      </c>
      <c r="F458" t="s">
        <v>1472</v>
      </c>
      <c r="G458" s="3">
        <v>68975</v>
      </c>
      <c r="H458" s="6" t="s">
        <v>1473</v>
      </c>
    </row>
    <row r="459" spans="1:8" x14ac:dyDescent="0.25">
      <c r="A459" t="s">
        <v>1474</v>
      </c>
      <c r="B459">
        <v>2001</v>
      </c>
      <c r="C459">
        <v>91</v>
      </c>
      <c r="D459" t="s">
        <v>48</v>
      </c>
      <c r="E459">
        <v>5.6</v>
      </c>
      <c r="F459" t="s">
        <v>1465</v>
      </c>
      <c r="G459" s="3">
        <v>90122</v>
      </c>
      <c r="H459" s="6" t="s">
        <v>1475</v>
      </c>
    </row>
    <row r="460" spans="1:8" x14ac:dyDescent="0.25">
      <c r="A460" t="s">
        <v>1476</v>
      </c>
      <c r="B460">
        <v>1984</v>
      </c>
      <c r="C460">
        <v>92</v>
      </c>
      <c r="D460" t="s">
        <v>72</v>
      </c>
      <c r="E460">
        <v>5.6</v>
      </c>
      <c r="F460" t="s">
        <v>1477</v>
      </c>
      <c r="G460" s="3">
        <v>54851</v>
      </c>
      <c r="H460" s="6" t="s">
        <v>1478</v>
      </c>
    </row>
    <row r="461" spans="1:8" x14ac:dyDescent="0.25">
      <c r="A461" t="s">
        <v>1479</v>
      </c>
      <c r="B461">
        <v>2017</v>
      </c>
      <c r="C461">
        <v>89</v>
      </c>
      <c r="D461" t="s">
        <v>504</v>
      </c>
      <c r="E461">
        <v>5.6</v>
      </c>
      <c r="F461" t="s">
        <v>1480</v>
      </c>
      <c r="G461" s="3">
        <v>58160</v>
      </c>
      <c r="H461" s="6" t="s">
        <v>1481</v>
      </c>
    </row>
    <row r="462" spans="1:8" x14ac:dyDescent="0.25">
      <c r="A462" t="s">
        <v>1482</v>
      </c>
      <c r="B462">
        <v>2018</v>
      </c>
      <c r="C462">
        <v>111</v>
      </c>
      <c r="D462" t="s">
        <v>451</v>
      </c>
      <c r="E462">
        <v>5.6</v>
      </c>
      <c r="F462" t="s">
        <v>1483</v>
      </c>
      <c r="G462" s="2" t="s">
        <v>1484</v>
      </c>
      <c r="H462" s="6" t="s">
        <v>1485</v>
      </c>
    </row>
    <row r="463" spans="1:8" x14ac:dyDescent="0.25">
      <c r="A463" t="s">
        <v>1486</v>
      </c>
      <c r="B463">
        <v>2004</v>
      </c>
      <c r="C463">
        <v>101</v>
      </c>
      <c r="D463" t="s">
        <v>62</v>
      </c>
      <c r="E463">
        <v>5.6</v>
      </c>
      <c r="F463" t="s">
        <v>686</v>
      </c>
      <c r="G463" s="2" t="s">
        <v>1487</v>
      </c>
      <c r="H463" s="6" t="s">
        <v>1488</v>
      </c>
    </row>
    <row r="464" spans="1:8" x14ac:dyDescent="0.25">
      <c r="A464" t="s">
        <v>1489</v>
      </c>
      <c r="B464">
        <v>2002</v>
      </c>
      <c r="C464">
        <v>93</v>
      </c>
      <c r="D464" t="s">
        <v>30</v>
      </c>
      <c r="E464">
        <v>5.6</v>
      </c>
      <c r="F464" t="s">
        <v>1247</v>
      </c>
      <c r="G464" s="3">
        <v>80830</v>
      </c>
      <c r="H464" s="6" t="s">
        <v>1490</v>
      </c>
    </row>
    <row r="465" spans="1:8" x14ac:dyDescent="0.25">
      <c r="A465" t="s">
        <v>1491</v>
      </c>
      <c r="B465">
        <v>1982</v>
      </c>
      <c r="C465">
        <v>95</v>
      </c>
      <c r="D465" t="s">
        <v>72</v>
      </c>
      <c r="E465">
        <v>5.6</v>
      </c>
      <c r="F465" t="s">
        <v>1158</v>
      </c>
      <c r="G465" s="3">
        <v>56597</v>
      </c>
      <c r="H465" s="6" t="s">
        <v>1492</v>
      </c>
    </row>
    <row r="466" spans="1:8" x14ac:dyDescent="0.25">
      <c r="A466" t="s">
        <v>1493</v>
      </c>
      <c r="B466">
        <v>2003</v>
      </c>
      <c r="C466">
        <v>104</v>
      </c>
      <c r="D466" t="s">
        <v>30</v>
      </c>
      <c r="E466">
        <v>5.6</v>
      </c>
      <c r="F466" t="s">
        <v>1042</v>
      </c>
      <c r="G466" s="3">
        <v>68038</v>
      </c>
      <c r="H466" s="6" t="s">
        <v>1494</v>
      </c>
    </row>
    <row r="467" spans="1:8" x14ac:dyDescent="0.25">
      <c r="A467" t="s">
        <v>1495</v>
      </c>
      <c r="B467">
        <v>2019</v>
      </c>
      <c r="C467">
        <v>99</v>
      </c>
      <c r="D467" t="s">
        <v>14</v>
      </c>
      <c r="E467">
        <v>5.6</v>
      </c>
      <c r="F467" t="s">
        <v>1496</v>
      </c>
      <c r="G467" s="3">
        <v>55805</v>
      </c>
      <c r="H467" s="6" t="s">
        <v>1497</v>
      </c>
    </row>
    <row r="468" spans="1:8" x14ac:dyDescent="0.25">
      <c r="A468" t="s">
        <v>1498</v>
      </c>
      <c r="B468">
        <v>2015</v>
      </c>
      <c r="C468">
        <v>95</v>
      </c>
      <c r="D468" t="s">
        <v>83</v>
      </c>
      <c r="E468">
        <v>5.6</v>
      </c>
      <c r="F468" t="s">
        <v>1499</v>
      </c>
      <c r="G468" s="3">
        <v>45541</v>
      </c>
      <c r="H468" s="6" t="s">
        <v>1500</v>
      </c>
    </row>
    <row r="469" spans="1:8" x14ac:dyDescent="0.25">
      <c r="A469" t="s">
        <v>1501</v>
      </c>
      <c r="B469">
        <v>2014</v>
      </c>
      <c r="C469">
        <v>83</v>
      </c>
      <c r="D469" t="s">
        <v>14</v>
      </c>
      <c r="E469">
        <v>5.6</v>
      </c>
      <c r="F469" t="s">
        <v>1502</v>
      </c>
      <c r="G469" s="3">
        <v>78487</v>
      </c>
      <c r="H469" s="6" t="s">
        <v>1503</v>
      </c>
    </row>
    <row r="470" spans="1:8" x14ac:dyDescent="0.25">
      <c r="A470" t="s">
        <v>1504</v>
      </c>
      <c r="B470">
        <v>1998</v>
      </c>
      <c r="C470">
        <v>89</v>
      </c>
      <c r="D470" t="s">
        <v>308</v>
      </c>
      <c r="E470">
        <v>5.6</v>
      </c>
      <c r="F470" t="s">
        <v>1431</v>
      </c>
      <c r="G470" s="3">
        <v>61366</v>
      </c>
      <c r="H470" s="6" t="s">
        <v>1505</v>
      </c>
    </row>
    <row r="471" spans="1:8" x14ac:dyDescent="0.25">
      <c r="A471" t="s">
        <v>1506</v>
      </c>
      <c r="B471">
        <v>1986</v>
      </c>
      <c r="C471">
        <v>101</v>
      </c>
      <c r="D471" t="s">
        <v>44</v>
      </c>
      <c r="E471">
        <v>5.6</v>
      </c>
      <c r="F471" t="s">
        <v>217</v>
      </c>
      <c r="G471" s="3">
        <v>35333</v>
      </c>
      <c r="H471" s="6" t="s">
        <v>1507</v>
      </c>
    </row>
    <row r="472" spans="1:8" x14ac:dyDescent="0.25">
      <c r="A472" t="s">
        <v>602</v>
      </c>
      <c r="B472">
        <v>1999</v>
      </c>
      <c r="C472">
        <v>93</v>
      </c>
      <c r="D472" t="s">
        <v>14</v>
      </c>
      <c r="E472">
        <v>5.6</v>
      </c>
      <c r="F472" t="s">
        <v>1508</v>
      </c>
      <c r="G472" s="3">
        <v>58487</v>
      </c>
      <c r="H472" s="6" t="s">
        <v>1509</v>
      </c>
    </row>
    <row r="473" spans="1:8" x14ac:dyDescent="0.25">
      <c r="A473" t="s">
        <v>1510</v>
      </c>
      <c r="B473">
        <v>1995</v>
      </c>
      <c r="C473">
        <v>98</v>
      </c>
      <c r="D473" t="s">
        <v>344</v>
      </c>
      <c r="E473">
        <v>5.6</v>
      </c>
      <c r="F473" t="s">
        <v>25</v>
      </c>
      <c r="G473" s="3">
        <v>33118</v>
      </c>
      <c r="H473" s="6" t="s">
        <v>1511</v>
      </c>
    </row>
    <row r="474" spans="1:8" x14ac:dyDescent="0.25">
      <c r="A474" t="s">
        <v>1512</v>
      </c>
      <c r="B474">
        <v>2015</v>
      </c>
      <c r="C474">
        <v>106</v>
      </c>
      <c r="D474" t="s">
        <v>1513</v>
      </c>
      <c r="E474">
        <v>5.6</v>
      </c>
      <c r="F474" t="s">
        <v>128</v>
      </c>
      <c r="G474" s="3">
        <v>41510</v>
      </c>
      <c r="H474" s="6" t="s">
        <v>137</v>
      </c>
    </row>
    <row r="475" spans="1:8" x14ac:dyDescent="0.25">
      <c r="A475" t="s">
        <v>1514</v>
      </c>
      <c r="B475">
        <v>1988</v>
      </c>
      <c r="C475">
        <v>93</v>
      </c>
      <c r="D475" t="s">
        <v>30</v>
      </c>
      <c r="E475">
        <v>5.6</v>
      </c>
      <c r="F475" t="s">
        <v>1020</v>
      </c>
      <c r="G475" s="3">
        <v>58602</v>
      </c>
      <c r="H475" s="6" t="s">
        <v>1515</v>
      </c>
    </row>
    <row r="476" spans="1:8" x14ac:dyDescent="0.25">
      <c r="A476" t="s">
        <v>1516</v>
      </c>
      <c r="B476">
        <v>2013</v>
      </c>
      <c r="C476">
        <v>97</v>
      </c>
      <c r="D476" t="s">
        <v>72</v>
      </c>
      <c r="E476">
        <v>5.6</v>
      </c>
      <c r="F476" t="s">
        <v>1517</v>
      </c>
      <c r="G476" s="3">
        <v>41474</v>
      </c>
      <c r="H476" s="6" t="s">
        <v>1518</v>
      </c>
    </row>
    <row r="477" spans="1:8" x14ac:dyDescent="0.25">
      <c r="A477" t="s">
        <v>1519</v>
      </c>
      <c r="B477">
        <v>1986</v>
      </c>
      <c r="C477">
        <v>91</v>
      </c>
      <c r="D477" t="s">
        <v>30</v>
      </c>
      <c r="E477">
        <v>5.6</v>
      </c>
      <c r="F477" t="s">
        <v>1520</v>
      </c>
      <c r="G477" s="3">
        <v>28529</v>
      </c>
      <c r="H477" s="6" t="s">
        <v>1521</v>
      </c>
    </row>
    <row r="478" spans="1:8" x14ac:dyDescent="0.25">
      <c r="A478" t="s">
        <v>679</v>
      </c>
      <c r="B478">
        <v>2005</v>
      </c>
      <c r="C478">
        <v>105</v>
      </c>
      <c r="D478" t="s">
        <v>42</v>
      </c>
      <c r="E478">
        <v>5.6</v>
      </c>
      <c r="F478" t="s">
        <v>1522</v>
      </c>
      <c r="G478" s="3">
        <v>64235</v>
      </c>
      <c r="H478" s="6" t="s">
        <v>1523</v>
      </c>
    </row>
    <row r="479" spans="1:8" x14ac:dyDescent="0.25">
      <c r="A479" t="s">
        <v>1524</v>
      </c>
      <c r="B479">
        <v>2006</v>
      </c>
      <c r="C479">
        <v>93</v>
      </c>
      <c r="D479" t="s">
        <v>308</v>
      </c>
      <c r="E479">
        <v>5.6</v>
      </c>
      <c r="F479" t="s">
        <v>1525</v>
      </c>
      <c r="G479" s="3">
        <v>32231</v>
      </c>
      <c r="H479" s="6" t="s">
        <v>908</v>
      </c>
    </row>
    <row r="480" spans="1:8" x14ac:dyDescent="0.25">
      <c r="A480" t="s">
        <v>1526</v>
      </c>
      <c r="B480">
        <v>2004</v>
      </c>
      <c r="C480">
        <v>104</v>
      </c>
      <c r="D480" t="s">
        <v>242</v>
      </c>
      <c r="E480">
        <v>5.6</v>
      </c>
      <c r="F480" t="s">
        <v>1527</v>
      </c>
      <c r="G480" s="3">
        <v>30873</v>
      </c>
      <c r="H480" s="6" t="s">
        <v>1528</v>
      </c>
    </row>
    <row r="481" spans="1:8" x14ac:dyDescent="0.25">
      <c r="A481" t="s">
        <v>1529</v>
      </c>
      <c r="B481">
        <v>2007</v>
      </c>
      <c r="C481">
        <v>99</v>
      </c>
      <c r="D481" t="s">
        <v>72</v>
      </c>
      <c r="E481">
        <v>5.6</v>
      </c>
      <c r="F481" t="s">
        <v>989</v>
      </c>
      <c r="G481" s="3">
        <v>43940</v>
      </c>
      <c r="H481" s="6" t="s">
        <v>1530</v>
      </c>
    </row>
    <row r="482" spans="1:8" x14ac:dyDescent="0.25">
      <c r="A482" t="s">
        <v>1531</v>
      </c>
      <c r="B482">
        <v>2010</v>
      </c>
      <c r="C482">
        <v>88</v>
      </c>
      <c r="D482" t="s">
        <v>44</v>
      </c>
      <c r="E482">
        <v>5.5</v>
      </c>
      <c r="F482" t="s">
        <v>639</v>
      </c>
      <c r="G482" s="3">
        <v>94107</v>
      </c>
      <c r="H482" s="6" t="s">
        <v>997</v>
      </c>
    </row>
    <row r="483" spans="1:8" x14ac:dyDescent="0.25">
      <c r="A483" t="s">
        <v>864</v>
      </c>
      <c r="B483">
        <v>2009</v>
      </c>
      <c r="C483">
        <v>97</v>
      </c>
      <c r="D483" t="s">
        <v>14</v>
      </c>
      <c r="E483">
        <v>5.5</v>
      </c>
      <c r="F483" t="s">
        <v>1077</v>
      </c>
      <c r="G483" s="2" t="s">
        <v>1532</v>
      </c>
      <c r="H483" s="6" t="s">
        <v>1533</v>
      </c>
    </row>
    <row r="484" spans="1:8" x14ac:dyDescent="0.25">
      <c r="A484" t="s">
        <v>1534</v>
      </c>
      <c r="B484">
        <v>2007</v>
      </c>
      <c r="C484">
        <v>94</v>
      </c>
      <c r="D484" t="s">
        <v>30</v>
      </c>
      <c r="E484">
        <v>5.5</v>
      </c>
      <c r="F484" t="s">
        <v>1247</v>
      </c>
      <c r="G484" s="3">
        <v>92969</v>
      </c>
      <c r="H484" s="6" t="s">
        <v>1535</v>
      </c>
    </row>
    <row r="485" spans="1:8" x14ac:dyDescent="0.25">
      <c r="A485" t="s">
        <v>1536</v>
      </c>
      <c r="B485">
        <v>2021</v>
      </c>
      <c r="C485">
        <v>105</v>
      </c>
      <c r="D485" t="s">
        <v>72</v>
      </c>
      <c r="E485">
        <v>5.5</v>
      </c>
      <c r="F485" t="s">
        <v>815</v>
      </c>
      <c r="G485" s="3">
        <v>91008</v>
      </c>
      <c r="H485" s="6" t="s">
        <v>1537</v>
      </c>
    </row>
    <row r="486" spans="1:8" x14ac:dyDescent="0.25">
      <c r="A486" t="s">
        <v>1538</v>
      </c>
      <c r="B486">
        <v>2012</v>
      </c>
      <c r="C486">
        <v>101</v>
      </c>
      <c r="D486" t="s">
        <v>39</v>
      </c>
      <c r="E486">
        <v>5.5</v>
      </c>
      <c r="F486" t="s">
        <v>1539</v>
      </c>
      <c r="G486" s="3">
        <v>78952</v>
      </c>
      <c r="H486" s="6" t="s">
        <v>1540</v>
      </c>
    </row>
    <row r="487" spans="1:8" x14ac:dyDescent="0.25">
      <c r="A487" t="s">
        <v>1541</v>
      </c>
      <c r="B487">
        <v>2019</v>
      </c>
      <c r="C487">
        <v>104</v>
      </c>
      <c r="D487" t="s">
        <v>187</v>
      </c>
      <c r="E487">
        <v>5.5</v>
      </c>
      <c r="F487" t="s">
        <v>350</v>
      </c>
      <c r="G487" s="3">
        <v>82134</v>
      </c>
      <c r="H487" s="6" t="s">
        <v>1542</v>
      </c>
    </row>
    <row r="488" spans="1:8" x14ac:dyDescent="0.25">
      <c r="A488" t="s">
        <v>1543</v>
      </c>
      <c r="B488">
        <v>2002</v>
      </c>
      <c r="C488">
        <v>99</v>
      </c>
      <c r="D488" t="s">
        <v>675</v>
      </c>
      <c r="E488">
        <v>5.5</v>
      </c>
      <c r="F488" t="s">
        <v>1544</v>
      </c>
      <c r="G488" s="3">
        <v>58839</v>
      </c>
      <c r="H488" s="6" t="s">
        <v>1545</v>
      </c>
    </row>
    <row r="489" spans="1:8" x14ac:dyDescent="0.25">
      <c r="A489" t="s">
        <v>1546</v>
      </c>
      <c r="B489">
        <v>2016</v>
      </c>
      <c r="C489">
        <v>107</v>
      </c>
      <c r="D489" t="s">
        <v>325</v>
      </c>
      <c r="E489">
        <v>5.5</v>
      </c>
      <c r="F489" t="s">
        <v>686</v>
      </c>
      <c r="G489" s="3">
        <v>97554</v>
      </c>
      <c r="H489" s="6" t="s">
        <v>1547</v>
      </c>
    </row>
    <row r="490" spans="1:8" x14ac:dyDescent="0.25">
      <c r="A490" t="s">
        <v>1548</v>
      </c>
      <c r="B490">
        <v>2020</v>
      </c>
      <c r="C490">
        <v>87</v>
      </c>
      <c r="D490" t="s">
        <v>284</v>
      </c>
      <c r="E490">
        <v>5.5</v>
      </c>
      <c r="F490" t="s">
        <v>1549</v>
      </c>
      <c r="G490" s="3">
        <v>32438</v>
      </c>
      <c r="H490" s="6" t="s">
        <v>1550</v>
      </c>
    </row>
    <row r="491" spans="1:8" x14ac:dyDescent="0.25">
      <c r="A491" t="s">
        <v>1551</v>
      </c>
      <c r="B491">
        <v>2010</v>
      </c>
      <c r="C491">
        <v>90</v>
      </c>
      <c r="D491" t="s">
        <v>178</v>
      </c>
      <c r="E491">
        <v>5.5</v>
      </c>
      <c r="F491" t="s">
        <v>1232</v>
      </c>
      <c r="G491" s="2" t="s">
        <v>1552</v>
      </c>
      <c r="H491" s="6" t="s">
        <v>1553</v>
      </c>
    </row>
    <row r="492" spans="1:8" x14ac:dyDescent="0.25">
      <c r="A492" t="s">
        <v>1554</v>
      </c>
      <c r="B492">
        <v>2020</v>
      </c>
      <c r="C492">
        <v>116</v>
      </c>
      <c r="D492" t="s">
        <v>107</v>
      </c>
      <c r="E492">
        <v>5.5</v>
      </c>
      <c r="F492" t="s">
        <v>108</v>
      </c>
      <c r="G492" s="3">
        <v>35176</v>
      </c>
      <c r="H492" s="6" t="s">
        <v>1339</v>
      </c>
    </row>
    <row r="493" spans="1:8" x14ac:dyDescent="0.25">
      <c r="A493" t="s">
        <v>1555</v>
      </c>
      <c r="B493">
        <v>2003</v>
      </c>
      <c r="C493">
        <v>134</v>
      </c>
      <c r="D493" t="s">
        <v>83</v>
      </c>
      <c r="E493">
        <v>5.5</v>
      </c>
      <c r="F493" t="s">
        <v>1556</v>
      </c>
      <c r="G493" s="3">
        <v>94534</v>
      </c>
      <c r="H493" s="6" t="s">
        <v>1557</v>
      </c>
    </row>
    <row r="494" spans="1:8" x14ac:dyDescent="0.25">
      <c r="A494" t="s">
        <v>1558</v>
      </c>
      <c r="B494">
        <v>2013</v>
      </c>
      <c r="C494">
        <v>98</v>
      </c>
      <c r="D494" t="s">
        <v>54</v>
      </c>
      <c r="E494">
        <v>5.5</v>
      </c>
      <c r="F494" t="s">
        <v>1559</v>
      </c>
      <c r="G494" s="3">
        <v>38026</v>
      </c>
      <c r="H494" s="6" t="s">
        <v>836</v>
      </c>
    </row>
    <row r="495" spans="1:8" x14ac:dyDescent="0.25">
      <c r="A495" t="s">
        <v>177</v>
      </c>
      <c r="B495">
        <v>2006</v>
      </c>
      <c r="C495">
        <v>110</v>
      </c>
      <c r="D495" t="s">
        <v>28</v>
      </c>
      <c r="E495">
        <v>5.5</v>
      </c>
      <c r="F495" t="s">
        <v>1560</v>
      </c>
      <c r="G495" s="3">
        <v>60750</v>
      </c>
      <c r="H495" s="6" t="s">
        <v>1561</v>
      </c>
    </row>
    <row r="496" spans="1:8" x14ac:dyDescent="0.25">
      <c r="A496" t="s">
        <v>1562</v>
      </c>
      <c r="B496">
        <v>1992</v>
      </c>
      <c r="C496">
        <v>97</v>
      </c>
      <c r="D496" t="s">
        <v>30</v>
      </c>
      <c r="E496">
        <v>5.5</v>
      </c>
      <c r="F496" t="s">
        <v>1563</v>
      </c>
      <c r="G496" s="3">
        <v>33318</v>
      </c>
      <c r="H496" s="6" t="s">
        <v>1564</v>
      </c>
    </row>
    <row r="497" spans="1:8" x14ac:dyDescent="0.25">
      <c r="A497" t="s">
        <v>1565</v>
      </c>
      <c r="B497">
        <v>2011</v>
      </c>
      <c r="C497">
        <v>101</v>
      </c>
      <c r="D497" t="s">
        <v>42</v>
      </c>
      <c r="E497">
        <v>5.5</v>
      </c>
      <c r="F497" t="s">
        <v>417</v>
      </c>
      <c r="G497" s="3">
        <v>36301</v>
      </c>
      <c r="H497" s="6" t="s">
        <v>145</v>
      </c>
    </row>
    <row r="498" spans="1:8" x14ac:dyDescent="0.25">
      <c r="A498" t="s">
        <v>1566</v>
      </c>
      <c r="B498">
        <v>2010</v>
      </c>
      <c r="C498">
        <v>99</v>
      </c>
      <c r="D498" t="s">
        <v>819</v>
      </c>
      <c r="E498">
        <v>5.5</v>
      </c>
      <c r="F498" t="s">
        <v>1567</v>
      </c>
      <c r="G498" s="3">
        <v>49772</v>
      </c>
      <c r="H498" s="6" t="s">
        <v>1568</v>
      </c>
    </row>
    <row r="499" spans="1:8" x14ac:dyDescent="0.25">
      <c r="A499" t="s">
        <v>1569</v>
      </c>
      <c r="B499">
        <v>2007</v>
      </c>
      <c r="C499">
        <v>95</v>
      </c>
      <c r="D499" t="s">
        <v>1570</v>
      </c>
      <c r="E499">
        <v>5.5</v>
      </c>
      <c r="F499" t="s">
        <v>73</v>
      </c>
      <c r="G499" s="3">
        <v>48380</v>
      </c>
      <c r="H499" s="6" t="s">
        <v>1571</v>
      </c>
    </row>
    <row r="500" spans="1:8" x14ac:dyDescent="0.25">
      <c r="A500" t="s">
        <v>1414</v>
      </c>
      <c r="B500">
        <v>2005</v>
      </c>
      <c r="C500">
        <v>101</v>
      </c>
      <c r="D500" t="s">
        <v>42</v>
      </c>
      <c r="E500">
        <v>5.5</v>
      </c>
      <c r="F500" t="s">
        <v>1572</v>
      </c>
      <c r="G500" s="3">
        <v>49931</v>
      </c>
      <c r="H500" s="6" t="s">
        <v>1573</v>
      </c>
    </row>
    <row r="501" spans="1:8" x14ac:dyDescent="0.25">
      <c r="A501" t="s">
        <v>1574</v>
      </c>
      <c r="B501">
        <v>2009</v>
      </c>
      <c r="C501">
        <v>102</v>
      </c>
      <c r="D501" t="s">
        <v>44</v>
      </c>
      <c r="E501">
        <v>5.4</v>
      </c>
      <c r="F501" t="s">
        <v>724</v>
      </c>
      <c r="G501" s="2" t="s">
        <v>1575</v>
      </c>
      <c r="H501" s="6" t="s">
        <v>1576</v>
      </c>
    </row>
    <row r="502" spans="1:8" x14ac:dyDescent="0.25">
      <c r="A502" t="s">
        <v>471</v>
      </c>
      <c r="B502">
        <v>2017</v>
      </c>
      <c r="C502">
        <v>110</v>
      </c>
      <c r="D502" t="s">
        <v>451</v>
      </c>
      <c r="E502">
        <v>5.4</v>
      </c>
      <c r="F502" t="s">
        <v>1577</v>
      </c>
      <c r="G502" s="2" t="s">
        <v>1578</v>
      </c>
      <c r="H502" s="6" t="s">
        <v>1579</v>
      </c>
    </row>
    <row r="503" spans="1:8" x14ac:dyDescent="0.25">
      <c r="A503" t="s">
        <v>1580</v>
      </c>
      <c r="B503">
        <v>2007</v>
      </c>
      <c r="C503">
        <v>94</v>
      </c>
      <c r="D503" t="s">
        <v>187</v>
      </c>
      <c r="E503">
        <v>5.4</v>
      </c>
      <c r="F503" t="s">
        <v>1581</v>
      </c>
      <c r="G503" s="3">
        <v>44984</v>
      </c>
      <c r="H503" s="6" t="s">
        <v>1582</v>
      </c>
    </row>
    <row r="504" spans="1:8" x14ac:dyDescent="0.25">
      <c r="A504" t="s">
        <v>1583</v>
      </c>
      <c r="B504">
        <v>1992</v>
      </c>
      <c r="C504">
        <v>108</v>
      </c>
      <c r="D504" t="s">
        <v>9</v>
      </c>
      <c r="E504">
        <v>5.4</v>
      </c>
      <c r="F504" t="s">
        <v>1584</v>
      </c>
      <c r="G504" s="3">
        <v>37519</v>
      </c>
      <c r="H504" s="6" t="s">
        <v>1585</v>
      </c>
    </row>
    <row r="505" spans="1:8" x14ac:dyDescent="0.25">
      <c r="A505" t="s">
        <v>1586</v>
      </c>
      <c r="B505">
        <v>2021</v>
      </c>
      <c r="C505">
        <v>103</v>
      </c>
      <c r="D505" t="s">
        <v>67</v>
      </c>
      <c r="E505">
        <v>5.4</v>
      </c>
      <c r="F505" t="s">
        <v>1587</v>
      </c>
      <c r="G505" s="3">
        <v>38456</v>
      </c>
      <c r="H505" s="6" t="s">
        <v>1588</v>
      </c>
    </row>
    <row r="506" spans="1:8" x14ac:dyDescent="0.25">
      <c r="A506" t="s">
        <v>1589</v>
      </c>
      <c r="B506">
        <v>2014</v>
      </c>
      <c r="C506">
        <v>99</v>
      </c>
      <c r="D506" t="s">
        <v>14</v>
      </c>
      <c r="E506">
        <v>5.4</v>
      </c>
      <c r="F506" t="s">
        <v>1590</v>
      </c>
      <c r="G506" s="2" t="s">
        <v>1591</v>
      </c>
      <c r="H506" s="6" t="s">
        <v>1592</v>
      </c>
    </row>
    <row r="507" spans="1:8" x14ac:dyDescent="0.25">
      <c r="A507" t="s">
        <v>588</v>
      </c>
      <c r="B507">
        <v>2020</v>
      </c>
      <c r="C507">
        <v>106</v>
      </c>
      <c r="D507" t="s">
        <v>589</v>
      </c>
      <c r="E507">
        <v>5.4</v>
      </c>
      <c r="F507" t="s">
        <v>714</v>
      </c>
      <c r="G507" s="3">
        <v>43623</v>
      </c>
      <c r="H507" s="6" t="s">
        <v>1593</v>
      </c>
    </row>
    <row r="508" spans="1:8" x14ac:dyDescent="0.25">
      <c r="A508" t="s">
        <v>1594</v>
      </c>
      <c r="B508">
        <v>2005</v>
      </c>
      <c r="C508">
        <v>113</v>
      </c>
      <c r="D508" t="s">
        <v>72</v>
      </c>
      <c r="E508">
        <v>5.4</v>
      </c>
      <c r="F508" t="s">
        <v>419</v>
      </c>
      <c r="G508" s="2" t="s">
        <v>1595</v>
      </c>
      <c r="H508" s="6" t="s">
        <v>1596</v>
      </c>
    </row>
    <row r="509" spans="1:8" x14ac:dyDescent="0.25">
      <c r="A509" t="s">
        <v>1597</v>
      </c>
      <c r="B509">
        <v>1986</v>
      </c>
      <c r="C509">
        <v>98</v>
      </c>
      <c r="D509" t="s">
        <v>116</v>
      </c>
      <c r="E509">
        <v>5.4</v>
      </c>
      <c r="F509" t="s">
        <v>1598</v>
      </c>
      <c r="G509" s="3">
        <v>34054</v>
      </c>
      <c r="H509" s="6" t="s">
        <v>1599</v>
      </c>
    </row>
    <row r="510" spans="1:8" x14ac:dyDescent="0.25">
      <c r="A510" t="s">
        <v>1600</v>
      </c>
      <c r="B510">
        <v>1985</v>
      </c>
      <c r="C510">
        <v>87</v>
      </c>
      <c r="D510" t="s">
        <v>30</v>
      </c>
      <c r="E510">
        <v>5.4</v>
      </c>
      <c r="F510" t="s">
        <v>1601</v>
      </c>
      <c r="G510" s="3">
        <v>73312</v>
      </c>
      <c r="H510" s="6" t="s">
        <v>1602</v>
      </c>
    </row>
    <row r="511" spans="1:8" x14ac:dyDescent="0.25">
      <c r="A511" t="s">
        <v>1603</v>
      </c>
      <c r="B511">
        <v>2014</v>
      </c>
      <c r="C511">
        <v>104</v>
      </c>
      <c r="D511" t="s">
        <v>1604</v>
      </c>
      <c r="E511">
        <v>5.4</v>
      </c>
      <c r="F511" t="s">
        <v>1605</v>
      </c>
      <c r="G511" s="3">
        <v>55923</v>
      </c>
      <c r="H511" s="6" t="s">
        <v>1606</v>
      </c>
    </row>
    <row r="512" spans="1:8" x14ac:dyDescent="0.25">
      <c r="A512" t="s">
        <v>1607</v>
      </c>
      <c r="B512">
        <v>2006</v>
      </c>
      <c r="C512">
        <v>93</v>
      </c>
      <c r="D512" t="s">
        <v>14</v>
      </c>
      <c r="E512">
        <v>5.4</v>
      </c>
      <c r="F512" t="s">
        <v>1608</v>
      </c>
      <c r="G512" s="3">
        <v>39687</v>
      </c>
      <c r="H512" s="6" t="s">
        <v>1609</v>
      </c>
    </row>
    <row r="513" spans="1:8" x14ac:dyDescent="0.25">
      <c r="A513" t="s">
        <v>1610</v>
      </c>
      <c r="B513">
        <v>2005</v>
      </c>
      <c r="C513">
        <v>110</v>
      </c>
      <c r="D513" t="s">
        <v>178</v>
      </c>
      <c r="E513">
        <v>5.4</v>
      </c>
      <c r="F513" t="s">
        <v>354</v>
      </c>
      <c r="G513" s="3">
        <v>98602</v>
      </c>
      <c r="H513" s="6" t="s">
        <v>1611</v>
      </c>
    </row>
    <row r="514" spans="1:8" x14ac:dyDescent="0.25">
      <c r="A514" t="s">
        <v>1612</v>
      </c>
      <c r="B514">
        <v>2011</v>
      </c>
      <c r="C514">
        <v>100</v>
      </c>
      <c r="D514" t="s">
        <v>284</v>
      </c>
      <c r="E514">
        <v>5.4</v>
      </c>
      <c r="F514" t="s">
        <v>1613</v>
      </c>
      <c r="G514" s="2" t="s">
        <v>1614</v>
      </c>
      <c r="H514" s="6" t="s">
        <v>1615</v>
      </c>
    </row>
    <row r="515" spans="1:8" x14ac:dyDescent="0.25">
      <c r="A515" t="s">
        <v>1616</v>
      </c>
      <c r="B515">
        <v>2018</v>
      </c>
      <c r="C515">
        <v>99</v>
      </c>
      <c r="D515" t="s">
        <v>28</v>
      </c>
      <c r="E515">
        <v>5.4</v>
      </c>
      <c r="F515" t="s">
        <v>914</v>
      </c>
      <c r="G515" s="3">
        <v>35434</v>
      </c>
      <c r="H515" s="6" t="s">
        <v>1617</v>
      </c>
    </row>
    <row r="516" spans="1:8" x14ac:dyDescent="0.25">
      <c r="A516" t="s">
        <v>1618</v>
      </c>
      <c r="B516">
        <v>2009</v>
      </c>
      <c r="C516">
        <v>101</v>
      </c>
      <c r="D516" t="s">
        <v>14</v>
      </c>
      <c r="E516">
        <v>5.4</v>
      </c>
      <c r="F516" t="s">
        <v>1619</v>
      </c>
      <c r="G516" s="3">
        <v>58571</v>
      </c>
      <c r="H516" s="6" t="s">
        <v>1620</v>
      </c>
    </row>
    <row r="517" spans="1:8" x14ac:dyDescent="0.25">
      <c r="A517" t="s">
        <v>766</v>
      </c>
      <c r="B517">
        <v>2008</v>
      </c>
      <c r="C517">
        <v>98</v>
      </c>
      <c r="D517" t="s">
        <v>178</v>
      </c>
      <c r="E517">
        <v>5.4</v>
      </c>
      <c r="F517" t="s">
        <v>946</v>
      </c>
      <c r="G517" s="3">
        <v>55021</v>
      </c>
      <c r="H517" s="6" t="s">
        <v>1621</v>
      </c>
    </row>
    <row r="518" spans="1:8" x14ac:dyDescent="0.25">
      <c r="A518" t="s">
        <v>1622</v>
      </c>
      <c r="B518">
        <v>2014</v>
      </c>
      <c r="C518">
        <v>102</v>
      </c>
      <c r="D518" t="s">
        <v>44</v>
      </c>
      <c r="E518">
        <v>5.3</v>
      </c>
      <c r="F518" t="s">
        <v>1194</v>
      </c>
      <c r="G518" s="3">
        <v>58591</v>
      </c>
      <c r="H518" s="6" t="s">
        <v>1623</v>
      </c>
    </row>
    <row r="519" spans="1:8" x14ac:dyDescent="0.25">
      <c r="A519" t="s">
        <v>1624</v>
      </c>
      <c r="B519">
        <v>2018</v>
      </c>
      <c r="C519">
        <v>96</v>
      </c>
      <c r="D519" t="s">
        <v>14</v>
      </c>
      <c r="E519">
        <v>5.3</v>
      </c>
      <c r="F519" t="s">
        <v>1625</v>
      </c>
      <c r="G519" s="2" t="s">
        <v>1626</v>
      </c>
      <c r="H519" s="6" t="s">
        <v>1627</v>
      </c>
    </row>
    <row r="520" spans="1:8" x14ac:dyDescent="0.25">
      <c r="A520" t="s">
        <v>1628</v>
      </c>
      <c r="B520">
        <v>2013</v>
      </c>
      <c r="C520">
        <v>100</v>
      </c>
      <c r="D520" t="s">
        <v>1273</v>
      </c>
      <c r="E520">
        <v>5.3</v>
      </c>
      <c r="F520" t="s">
        <v>1247</v>
      </c>
      <c r="G520" s="3">
        <v>46716</v>
      </c>
      <c r="H520" s="6" t="s">
        <v>1629</v>
      </c>
    </row>
    <row r="521" spans="1:8" x14ac:dyDescent="0.25">
      <c r="A521" t="s">
        <v>1630</v>
      </c>
      <c r="B521">
        <v>2018</v>
      </c>
      <c r="C521">
        <v>107</v>
      </c>
      <c r="D521" t="s">
        <v>62</v>
      </c>
      <c r="E521">
        <v>5.3</v>
      </c>
      <c r="F521" t="s">
        <v>1631</v>
      </c>
      <c r="G521" s="2" t="s">
        <v>1632</v>
      </c>
      <c r="H521" s="6" t="s">
        <v>1633</v>
      </c>
    </row>
    <row r="522" spans="1:8" x14ac:dyDescent="0.25">
      <c r="A522" t="s">
        <v>1634</v>
      </c>
      <c r="B522">
        <v>2001</v>
      </c>
      <c r="C522">
        <v>83</v>
      </c>
      <c r="D522" t="s">
        <v>44</v>
      </c>
      <c r="E522">
        <v>5.3</v>
      </c>
      <c r="F522" t="s">
        <v>1635</v>
      </c>
      <c r="G522" s="2" t="s">
        <v>1636</v>
      </c>
      <c r="H522" s="6" t="s">
        <v>1637</v>
      </c>
    </row>
    <row r="523" spans="1:8" x14ac:dyDescent="0.25">
      <c r="A523" t="s">
        <v>1638</v>
      </c>
      <c r="B523">
        <v>2010</v>
      </c>
      <c r="C523">
        <v>100</v>
      </c>
      <c r="D523" t="s">
        <v>438</v>
      </c>
      <c r="E523">
        <v>5.3</v>
      </c>
      <c r="F523" t="s">
        <v>999</v>
      </c>
      <c r="G523" s="2" t="s">
        <v>1639</v>
      </c>
      <c r="H523" s="6" t="s">
        <v>1640</v>
      </c>
    </row>
    <row r="524" spans="1:8" x14ac:dyDescent="0.25">
      <c r="A524" t="s">
        <v>1641</v>
      </c>
      <c r="B524">
        <v>2020</v>
      </c>
      <c r="C524">
        <v>94</v>
      </c>
      <c r="D524" t="s">
        <v>625</v>
      </c>
      <c r="E524">
        <v>5.3</v>
      </c>
      <c r="F524" t="s">
        <v>1642</v>
      </c>
      <c r="G524" s="3">
        <v>84381</v>
      </c>
      <c r="H524" s="6" t="s">
        <v>1643</v>
      </c>
    </row>
    <row r="525" spans="1:8" x14ac:dyDescent="0.25">
      <c r="A525" t="s">
        <v>1644</v>
      </c>
      <c r="B525">
        <v>2015</v>
      </c>
      <c r="C525">
        <v>97</v>
      </c>
      <c r="D525" t="s">
        <v>14</v>
      </c>
      <c r="E525">
        <v>5.3</v>
      </c>
      <c r="F525" t="s">
        <v>1372</v>
      </c>
      <c r="G525" s="3">
        <v>57723</v>
      </c>
      <c r="H525" s="6" t="s">
        <v>1645</v>
      </c>
    </row>
    <row r="526" spans="1:8" x14ac:dyDescent="0.25">
      <c r="A526" t="s">
        <v>1646</v>
      </c>
      <c r="B526">
        <v>2012</v>
      </c>
      <c r="C526">
        <v>95</v>
      </c>
      <c r="D526" t="s">
        <v>325</v>
      </c>
      <c r="E526">
        <v>5.3</v>
      </c>
      <c r="F526" t="s">
        <v>686</v>
      </c>
      <c r="G526" s="2" t="s">
        <v>1647</v>
      </c>
      <c r="H526" s="6" t="s">
        <v>1648</v>
      </c>
    </row>
    <row r="527" spans="1:8" x14ac:dyDescent="0.25">
      <c r="A527" t="s">
        <v>1649</v>
      </c>
      <c r="B527">
        <v>2004</v>
      </c>
      <c r="C527">
        <v>93</v>
      </c>
      <c r="D527" t="s">
        <v>296</v>
      </c>
      <c r="E527">
        <v>5.3</v>
      </c>
      <c r="F527" t="s">
        <v>374</v>
      </c>
      <c r="G527" s="3">
        <v>68040</v>
      </c>
      <c r="H527" s="6" t="s">
        <v>1650</v>
      </c>
    </row>
    <row r="528" spans="1:8" x14ac:dyDescent="0.25">
      <c r="A528" t="s">
        <v>1651</v>
      </c>
      <c r="B528">
        <v>2007</v>
      </c>
      <c r="C528">
        <v>90</v>
      </c>
      <c r="D528" t="s">
        <v>42</v>
      </c>
      <c r="E528">
        <v>5.3</v>
      </c>
      <c r="F528" t="s">
        <v>767</v>
      </c>
      <c r="G528" s="3">
        <v>40604</v>
      </c>
      <c r="H528" s="6" t="s">
        <v>1652</v>
      </c>
    </row>
    <row r="529" spans="1:8" x14ac:dyDescent="0.25">
      <c r="A529" t="s">
        <v>1653</v>
      </c>
      <c r="B529">
        <v>2005</v>
      </c>
      <c r="C529">
        <v>105</v>
      </c>
      <c r="D529" t="s">
        <v>325</v>
      </c>
      <c r="E529">
        <v>5.2</v>
      </c>
      <c r="F529" t="s">
        <v>1654</v>
      </c>
      <c r="G529" s="2" t="s">
        <v>1655</v>
      </c>
      <c r="H529" s="6" t="s">
        <v>1656</v>
      </c>
    </row>
    <row r="530" spans="1:8" x14ac:dyDescent="0.25">
      <c r="A530" t="s">
        <v>1657</v>
      </c>
      <c r="B530">
        <v>2022</v>
      </c>
      <c r="C530">
        <v>104</v>
      </c>
      <c r="D530" t="s">
        <v>62</v>
      </c>
      <c r="E530">
        <v>5.2</v>
      </c>
      <c r="F530" t="s">
        <v>690</v>
      </c>
      <c r="G530" s="2" t="s">
        <v>1658</v>
      </c>
      <c r="H530" s="6" t="s">
        <v>1659</v>
      </c>
    </row>
    <row r="531" spans="1:8" x14ac:dyDescent="0.25">
      <c r="A531" t="s">
        <v>1660</v>
      </c>
      <c r="B531">
        <v>2006</v>
      </c>
      <c r="C531">
        <v>97</v>
      </c>
      <c r="D531" t="s">
        <v>451</v>
      </c>
      <c r="E531">
        <v>5.2</v>
      </c>
      <c r="F531" t="s">
        <v>1020</v>
      </c>
      <c r="G531" s="3">
        <v>50834</v>
      </c>
      <c r="H531" s="6" t="s">
        <v>1661</v>
      </c>
    </row>
    <row r="532" spans="1:8" x14ac:dyDescent="0.25">
      <c r="A532" t="s">
        <v>1662</v>
      </c>
      <c r="B532">
        <v>2021</v>
      </c>
      <c r="C532">
        <v>107</v>
      </c>
      <c r="D532" t="s">
        <v>325</v>
      </c>
      <c r="E532">
        <v>5.2</v>
      </c>
      <c r="F532" t="s">
        <v>1480</v>
      </c>
      <c r="G532" s="3">
        <v>58422</v>
      </c>
      <c r="H532" s="6" t="s">
        <v>1333</v>
      </c>
    </row>
    <row r="533" spans="1:8" x14ac:dyDescent="0.25">
      <c r="A533" t="s">
        <v>574</v>
      </c>
      <c r="B533">
        <v>2019</v>
      </c>
      <c r="C533">
        <v>120</v>
      </c>
      <c r="D533" t="s">
        <v>451</v>
      </c>
      <c r="E533">
        <v>5.2</v>
      </c>
      <c r="F533" t="s">
        <v>321</v>
      </c>
      <c r="G533" s="3">
        <v>94121</v>
      </c>
      <c r="H533" s="6" t="s">
        <v>1663</v>
      </c>
    </row>
    <row r="534" spans="1:8" x14ac:dyDescent="0.25">
      <c r="A534" t="s">
        <v>846</v>
      </c>
      <c r="B534">
        <v>2017</v>
      </c>
      <c r="C534">
        <v>109</v>
      </c>
      <c r="D534" t="s">
        <v>42</v>
      </c>
      <c r="E534">
        <v>5.2</v>
      </c>
      <c r="F534" t="s">
        <v>1664</v>
      </c>
      <c r="G534" s="3">
        <v>49170</v>
      </c>
      <c r="H534" s="6" t="s">
        <v>1665</v>
      </c>
    </row>
    <row r="535" spans="1:8" x14ac:dyDescent="0.25">
      <c r="A535" t="s">
        <v>1666</v>
      </c>
      <c r="B535">
        <v>2008</v>
      </c>
      <c r="C535">
        <v>112</v>
      </c>
      <c r="D535" t="s">
        <v>451</v>
      </c>
      <c r="E535">
        <v>5.2</v>
      </c>
      <c r="F535" t="s">
        <v>1667</v>
      </c>
      <c r="G535" s="2" t="s">
        <v>1668</v>
      </c>
      <c r="H535" s="6" t="s">
        <v>1669</v>
      </c>
    </row>
    <row r="536" spans="1:8" x14ac:dyDescent="0.25">
      <c r="A536" t="s">
        <v>1670</v>
      </c>
      <c r="B536">
        <v>2016</v>
      </c>
      <c r="C536">
        <v>118</v>
      </c>
      <c r="D536" t="s">
        <v>625</v>
      </c>
      <c r="E536">
        <v>5.2</v>
      </c>
      <c r="F536" t="s">
        <v>517</v>
      </c>
      <c r="G536" s="3">
        <v>33671</v>
      </c>
      <c r="H536" s="6" t="s">
        <v>1671</v>
      </c>
    </row>
    <row r="537" spans="1:8" x14ac:dyDescent="0.25">
      <c r="A537" t="s">
        <v>1672</v>
      </c>
      <c r="B537">
        <v>1997</v>
      </c>
      <c r="C537">
        <v>96</v>
      </c>
      <c r="D537" t="s">
        <v>329</v>
      </c>
      <c r="E537">
        <v>5.2</v>
      </c>
      <c r="F537" t="s">
        <v>1673</v>
      </c>
      <c r="G537" s="3">
        <v>70341</v>
      </c>
      <c r="H537" s="6" t="s">
        <v>1674</v>
      </c>
    </row>
    <row r="538" spans="1:8" x14ac:dyDescent="0.25">
      <c r="A538" t="s">
        <v>1675</v>
      </c>
      <c r="B538">
        <v>2018</v>
      </c>
      <c r="C538">
        <v>100</v>
      </c>
      <c r="D538" t="s">
        <v>72</v>
      </c>
      <c r="E538">
        <v>5.2</v>
      </c>
      <c r="F538" t="s">
        <v>1412</v>
      </c>
      <c r="G538" s="3">
        <v>59199</v>
      </c>
      <c r="H538" s="6" t="s">
        <v>1676</v>
      </c>
    </row>
    <row r="539" spans="1:8" x14ac:dyDescent="0.25">
      <c r="A539" t="s">
        <v>1677</v>
      </c>
      <c r="B539">
        <v>2019</v>
      </c>
      <c r="C539">
        <v>93</v>
      </c>
      <c r="D539" t="s">
        <v>14</v>
      </c>
      <c r="E539">
        <v>5.2</v>
      </c>
      <c r="F539" t="s">
        <v>968</v>
      </c>
      <c r="G539" s="3">
        <v>53361</v>
      </c>
      <c r="H539" s="6" t="s">
        <v>1678</v>
      </c>
    </row>
    <row r="540" spans="1:8" x14ac:dyDescent="0.25">
      <c r="A540" t="s">
        <v>1679</v>
      </c>
      <c r="B540">
        <v>2002</v>
      </c>
      <c r="C540">
        <v>101</v>
      </c>
      <c r="D540" t="s">
        <v>28</v>
      </c>
      <c r="E540">
        <v>5.2</v>
      </c>
      <c r="F540" t="s">
        <v>1680</v>
      </c>
      <c r="G540" s="3">
        <v>57951</v>
      </c>
      <c r="H540" s="6" t="s">
        <v>1681</v>
      </c>
    </row>
    <row r="541" spans="1:8" x14ac:dyDescent="0.25">
      <c r="A541" t="s">
        <v>1682</v>
      </c>
      <c r="B541">
        <v>2004</v>
      </c>
      <c r="C541">
        <v>93</v>
      </c>
      <c r="D541" t="s">
        <v>589</v>
      </c>
      <c r="E541">
        <v>5.2</v>
      </c>
      <c r="F541" t="s">
        <v>1683</v>
      </c>
      <c r="G541" s="3">
        <v>61313</v>
      </c>
      <c r="H541" s="6" t="s">
        <v>1684</v>
      </c>
    </row>
    <row r="542" spans="1:8" x14ac:dyDescent="0.25">
      <c r="A542" t="s">
        <v>213</v>
      </c>
      <c r="B542">
        <v>2010</v>
      </c>
      <c r="C542">
        <v>95</v>
      </c>
      <c r="D542" t="s">
        <v>35</v>
      </c>
      <c r="E542">
        <v>5.2</v>
      </c>
      <c r="F542" t="s">
        <v>1685</v>
      </c>
      <c r="G542" s="2" t="s">
        <v>1686</v>
      </c>
      <c r="H542" s="6" t="s">
        <v>1687</v>
      </c>
    </row>
    <row r="543" spans="1:8" x14ac:dyDescent="0.25">
      <c r="A543" t="s">
        <v>1688</v>
      </c>
      <c r="B543">
        <v>2018</v>
      </c>
      <c r="C543">
        <v>97</v>
      </c>
      <c r="D543" t="s">
        <v>325</v>
      </c>
      <c r="E543">
        <v>5.2</v>
      </c>
      <c r="F543" t="s">
        <v>1689</v>
      </c>
      <c r="G543" s="3">
        <v>66568</v>
      </c>
      <c r="H543" s="6" t="s">
        <v>1690</v>
      </c>
    </row>
    <row r="544" spans="1:8" x14ac:dyDescent="0.25">
      <c r="A544" t="s">
        <v>1691</v>
      </c>
      <c r="B544">
        <v>2018</v>
      </c>
      <c r="C544">
        <v>85</v>
      </c>
      <c r="D544" t="s">
        <v>30</v>
      </c>
      <c r="E544">
        <v>5.2</v>
      </c>
      <c r="F544" t="s">
        <v>1480</v>
      </c>
      <c r="G544" s="3">
        <v>32686</v>
      </c>
      <c r="H544" s="6" t="s">
        <v>1692</v>
      </c>
    </row>
    <row r="545" spans="1:8" x14ac:dyDescent="0.25">
      <c r="A545" t="s">
        <v>1693</v>
      </c>
      <c r="B545">
        <v>1988</v>
      </c>
      <c r="C545">
        <v>88</v>
      </c>
      <c r="D545" t="s">
        <v>72</v>
      </c>
      <c r="E545">
        <v>5.2</v>
      </c>
      <c r="F545" t="s">
        <v>1694</v>
      </c>
      <c r="G545" s="3">
        <v>39646</v>
      </c>
      <c r="H545" s="6" t="s">
        <v>1695</v>
      </c>
    </row>
    <row r="546" spans="1:8" x14ac:dyDescent="0.25">
      <c r="A546" t="s">
        <v>1696</v>
      </c>
      <c r="B546">
        <v>2008</v>
      </c>
      <c r="C546">
        <v>85</v>
      </c>
      <c r="D546" t="s">
        <v>14</v>
      </c>
      <c r="E546">
        <v>5.2</v>
      </c>
      <c r="F546" t="s">
        <v>1697</v>
      </c>
      <c r="G546" s="3">
        <v>36208</v>
      </c>
      <c r="H546" s="6" t="s">
        <v>1698</v>
      </c>
    </row>
    <row r="547" spans="1:8" x14ac:dyDescent="0.25">
      <c r="A547" t="s">
        <v>1699</v>
      </c>
      <c r="B547">
        <v>2011</v>
      </c>
      <c r="C547">
        <v>86</v>
      </c>
      <c r="D547" t="s">
        <v>24</v>
      </c>
      <c r="E547">
        <v>5.2</v>
      </c>
      <c r="F547" t="s">
        <v>1136</v>
      </c>
      <c r="G547" s="3">
        <v>56777</v>
      </c>
      <c r="H547" s="6" t="s">
        <v>1700</v>
      </c>
    </row>
    <row r="548" spans="1:8" x14ac:dyDescent="0.25">
      <c r="A548" t="s">
        <v>1701</v>
      </c>
      <c r="B548">
        <v>2015</v>
      </c>
      <c r="C548">
        <v>83</v>
      </c>
      <c r="D548" t="s">
        <v>24</v>
      </c>
      <c r="E548">
        <v>5.2</v>
      </c>
      <c r="F548" t="s">
        <v>1702</v>
      </c>
      <c r="G548" s="3">
        <v>44970</v>
      </c>
      <c r="H548" s="6" t="s">
        <v>1703</v>
      </c>
    </row>
    <row r="549" spans="1:8" x14ac:dyDescent="0.25">
      <c r="A549" t="s">
        <v>1704</v>
      </c>
      <c r="B549">
        <v>2012</v>
      </c>
      <c r="C549">
        <v>101</v>
      </c>
      <c r="D549" t="s">
        <v>72</v>
      </c>
      <c r="E549">
        <v>5.2</v>
      </c>
      <c r="F549" t="s">
        <v>621</v>
      </c>
      <c r="G549" s="3">
        <v>31229</v>
      </c>
      <c r="H549" s="6" t="s">
        <v>1705</v>
      </c>
    </row>
    <row r="550" spans="1:8" x14ac:dyDescent="0.25">
      <c r="A550" t="s">
        <v>1706</v>
      </c>
      <c r="B550">
        <v>2016</v>
      </c>
      <c r="C550">
        <v>92</v>
      </c>
      <c r="D550" t="s">
        <v>14</v>
      </c>
      <c r="E550">
        <v>5.2</v>
      </c>
      <c r="F550" t="s">
        <v>1707</v>
      </c>
      <c r="G550" s="3">
        <v>27158</v>
      </c>
      <c r="H550" s="6" t="s">
        <v>1708</v>
      </c>
    </row>
    <row r="551" spans="1:8" x14ac:dyDescent="0.25">
      <c r="A551" t="s">
        <v>1709</v>
      </c>
      <c r="B551">
        <v>2003</v>
      </c>
      <c r="C551">
        <v>88</v>
      </c>
      <c r="D551" t="s">
        <v>492</v>
      </c>
      <c r="E551">
        <v>5.0999999999999996</v>
      </c>
      <c r="F551" t="s">
        <v>1710</v>
      </c>
      <c r="G551" s="3">
        <v>51618</v>
      </c>
      <c r="H551" s="6" t="s">
        <v>1711</v>
      </c>
    </row>
    <row r="552" spans="1:8" x14ac:dyDescent="0.25">
      <c r="A552" t="s">
        <v>1712</v>
      </c>
      <c r="B552">
        <v>2009</v>
      </c>
      <c r="C552">
        <v>82</v>
      </c>
      <c r="D552" t="s">
        <v>72</v>
      </c>
      <c r="E552">
        <v>5.0999999999999996</v>
      </c>
      <c r="F552" t="s">
        <v>1073</v>
      </c>
      <c r="G552" s="2" t="s">
        <v>1713</v>
      </c>
      <c r="H552" s="6" t="s">
        <v>1714</v>
      </c>
    </row>
    <row r="553" spans="1:8" x14ac:dyDescent="0.25">
      <c r="A553" t="s">
        <v>1715</v>
      </c>
      <c r="B553">
        <v>2009</v>
      </c>
      <c r="C553">
        <v>101</v>
      </c>
      <c r="D553" t="s">
        <v>178</v>
      </c>
      <c r="E553">
        <v>5.0999999999999996</v>
      </c>
      <c r="F553" t="s">
        <v>1716</v>
      </c>
      <c r="G553" s="3">
        <v>31640</v>
      </c>
      <c r="H553" s="6" t="s">
        <v>1717</v>
      </c>
    </row>
    <row r="554" spans="1:8" x14ac:dyDescent="0.25">
      <c r="A554" t="s">
        <v>1718</v>
      </c>
      <c r="B554">
        <v>2007</v>
      </c>
      <c r="C554">
        <v>89</v>
      </c>
      <c r="D554" t="s">
        <v>72</v>
      </c>
      <c r="E554">
        <v>5.0999999999999996</v>
      </c>
      <c r="F554" t="s">
        <v>1719</v>
      </c>
      <c r="G554" s="3">
        <v>65955</v>
      </c>
      <c r="H554" s="6" t="s">
        <v>1720</v>
      </c>
    </row>
    <row r="555" spans="1:8" x14ac:dyDescent="0.25">
      <c r="A555" t="s">
        <v>1721</v>
      </c>
      <c r="B555">
        <v>2006</v>
      </c>
      <c r="C555">
        <v>87</v>
      </c>
      <c r="D555" t="s">
        <v>72</v>
      </c>
      <c r="E555">
        <v>5.0999999999999996</v>
      </c>
      <c r="F555" t="s">
        <v>1722</v>
      </c>
      <c r="G555" s="3">
        <v>47247</v>
      </c>
      <c r="H555" s="6" t="s">
        <v>1723</v>
      </c>
    </row>
    <row r="556" spans="1:8" x14ac:dyDescent="0.25">
      <c r="A556" t="s">
        <v>1724</v>
      </c>
      <c r="B556">
        <v>2005</v>
      </c>
      <c r="C556">
        <v>97</v>
      </c>
      <c r="D556" t="s">
        <v>54</v>
      </c>
      <c r="E556">
        <v>5.0999999999999996</v>
      </c>
      <c r="F556" t="s">
        <v>1725</v>
      </c>
      <c r="G556" s="3">
        <v>40180</v>
      </c>
      <c r="H556" s="6" t="s">
        <v>1726</v>
      </c>
    </row>
    <row r="557" spans="1:8" x14ac:dyDescent="0.25">
      <c r="A557" t="s">
        <v>1727</v>
      </c>
      <c r="B557">
        <v>1982</v>
      </c>
      <c r="C557">
        <v>98</v>
      </c>
      <c r="D557" t="s">
        <v>24</v>
      </c>
      <c r="E557">
        <v>5.0999999999999996</v>
      </c>
      <c r="F557" t="s">
        <v>1728</v>
      </c>
      <c r="G557" s="3">
        <v>57269</v>
      </c>
      <c r="H557" s="6" t="s">
        <v>1729</v>
      </c>
    </row>
    <row r="558" spans="1:8" x14ac:dyDescent="0.25">
      <c r="A558" t="s">
        <v>1730</v>
      </c>
      <c r="B558">
        <v>2004</v>
      </c>
      <c r="C558">
        <v>114</v>
      </c>
      <c r="D558" t="s">
        <v>14</v>
      </c>
      <c r="E558">
        <v>5.0999999999999996</v>
      </c>
      <c r="F558" t="s">
        <v>1020</v>
      </c>
      <c r="G558" s="3">
        <v>37959</v>
      </c>
      <c r="H558" s="6" t="s">
        <v>1731</v>
      </c>
    </row>
    <row r="559" spans="1:8" x14ac:dyDescent="0.25">
      <c r="A559" t="s">
        <v>1732</v>
      </c>
      <c r="B559">
        <v>1991</v>
      </c>
      <c r="C559">
        <v>90</v>
      </c>
      <c r="D559" t="s">
        <v>72</v>
      </c>
      <c r="E559">
        <v>5.0999999999999996</v>
      </c>
      <c r="F559" t="s">
        <v>1733</v>
      </c>
      <c r="G559" s="3">
        <v>43765</v>
      </c>
      <c r="H559" s="6" t="s">
        <v>1734</v>
      </c>
    </row>
    <row r="560" spans="1:8" x14ac:dyDescent="0.25">
      <c r="A560" t="s">
        <v>1735</v>
      </c>
      <c r="B560">
        <v>1997</v>
      </c>
      <c r="C560">
        <v>98</v>
      </c>
      <c r="D560" t="s">
        <v>187</v>
      </c>
      <c r="E560">
        <v>5.0999999999999996</v>
      </c>
      <c r="F560" t="s">
        <v>1736</v>
      </c>
      <c r="G560" s="3">
        <v>26134</v>
      </c>
      <c r="H560" s="6" t="s">
        <v>1737</v>
      </c>
    </row>
    <row r="561" spans="1:8" x14ac:dyDescent="0.25">
      <c r="A561" t="s">
        <v>1738</v>
      </c>
      <c r="B561">
        <v>2019</v>
      </c>
      <c r="C561">
        <v>90</v>
      </c>
      <c r="D561" t="s">
        <v>504</v>
      </c>
      <c r="E561">
        <v>5</v>
      </c>
      <c r="F561" t="s">
        <v>1480</v>
      </c>
      <c r="G561" s="3">
        <v>28859</v>
      </c>
      <c r="H561" s="6" t="s">
        <v>1739</v>
      </c>
    </row>
    <row r="562" spans="1:8" x14ac:dyDescent="0.25">
      <c r="A562" t="s">
        <v>238</v>
      </c>
      <c r="B562">
        <v>1999</v>
      </c>
      <c r="C562">
        <v>113</v>
      </c>
      <c r="D562" t="s">
        <v>284</v>
      </c>
      <c r="E562">
        <v>5</v>
      </c>
      <c r="F562" t="s">
        <v>1740</v>
      </c>
      <c r="G562" s="3">
        <v>78402</v>
      </c>
      <c r="H562" s="6" t="s">
        <v>1741</v>
      </c>
    </row>
    <row r="563" spans="1:8" x14ac:dyDescent="0.25">
      <c r="A563" t="s">
        <v>1742</v>
      </c>
      <c r="B563">
        <v>2013</v>
      </c>
      <c r="C563">
        <v>86</v>
      </c>
      <c r="D563" t="s">
        <v>187</v>
      </c>
      <c r="E563">
        <v>5</v>
      </c>
      <c r="F563" t="s">
        <v>1743</v>
      </c>
      <c r="G563" s="3">
        <v>48272</v>
      </c>
      <c r="H563" s="6" t="s">
        <v>1744</v>
      </c>
    </row>
    <row r="564" spans="1:8" x14ac:dyDescent="0.25">
      <c r="A564" t="s">
        <v>1745</v>
      </c>
      <c r="B564">
        <v>2016</v>
      </c>
      <c r="C564">
        <v>89</v>
      </c>
      <c r="D564" t="s">
        <v>14</v>
      </c>
      <c r="E564">
        <v>5</v>
      </c>
      <c r="F564" t="s">
        <v>697</v>
      </c>
      <c r="G564" s="3">
        <v>47890</v>
      </c>
      <c r="H564" s="6" t="s">
        <v>1746</v>
      </c>
    </row>
    <row r="565" spans="1:8" x14ac:dyDescent="0.25">
      <c r="A565" t="s">
        <v>1747</v>
      </c>
      <c r="B565">
        <v>1999</v>
      </c>
      <c r="C565">
        <v>99</v>
      </c>
      <c r="D565" t="s">
        <v>325</v>
      </c>
      <c r="E565">
        <v>5</v>
      </c>
      <c r="F565" t="s">
        <v>1748</v>
      </c>
      <c r="G565" s="3">
        <v>29017</v>
      </c>
      <c r="H565" s="6" t="s">
        <v>1749</v>
      </c>
    </row>
    <row r="566" spans="1:8" x14ac:dyDescent="0.25">
      <c r="A566" t="s">
        <v>1750</v>
      </c>
      <c r="B566">
        <v>2006</v>
      </c>
      <c r="C566">
        <v>85</v>
      </c>
      <c r="D566" t="s">
        <v>284</v>
      </c>
      <c r="E566">
        <v>5</v>
      </c>
      <c r="F566" t="s">
        <v>1210</v>
      </c>
      <c r="G566" s="3">
        <v>33235</v>
      </c>
      <c r="H566" s="6" t="s">
        <v>1751</v>
      </c>
    </row>
    <row r="567" spans="1:8" x14ac:dyDescent="0.25">
      <c r="A567" t="s">
        <v>1752</v>
      </c>
      <c r="B567">
        <v>1989</v>
      </c>
      <c r="C567">
        <v>89</v>
      </c>
      <c r="D567" t="s">
        <v>48</v>
      </c>
      <c r="E567">
        <v>5</v>
      </c>
      <c r="F567" t="s">
        <v>989</v>
      </c>
      <c r="G567" s="3">
        <v>48222</v>
      </c>
      <c r="H567" s="6" t="s">
        <v>1753</v>
      </c>
    </row>
    <row r="568" spans="1:8" x14ac:dyDescent="0.25">
      <c r="A568" t="s">
        <v>1754</v>
      </c>
      <c r="B568">
        <v>2006</v>
      </c>
      <c r="C568">
        <v>84</v>
      </c>
      <c r="D568" t="s">
        <v>107</v>
      </c>
      <c r="E568">
        <v>5</v>
      </c>
      <c r="F568" t="s">
        <v>1755</v>
      </c>
      <c r="G568" s="3">
        <v>28075</v>
      </c>
      <c r="H568" s="6" t="s">
        <v>1756</v>
      </c>
    </row>
    <row r="569" spans="1:8" x14ac:dyDescent="0.25">
      <c r="A569" t="s">
        <v>1757</v>
      </c>
      <c r="B569">
        <v>2012</v>
      </c>
      <c r="C569">
        <v>86</v>
      </c>
      <c r="D569" t="s">
        <v>14</v>
      </c>
      <c r="E569">
        <v>5</v>
      </c>
      <c r="F569" t="s">
        <v>1758</v>
      </c>
      <c r="G569" s="3">
        <v>67339</v>
      </c>
      <c r="H569" s="6" t="s">
        <v>1759</v>
      </c>
    </row>
    <row r="570" spans="1:8" x14ac:dyDescent="0.25">
      <c r="A570" t="s">
        <v>1760</v>
      </c>
      <c r="B570">
        <v>2005</v>
      </c>
      <c r="C570">
        <v>97</v>
      </c>
      <c r="D570" t="s">
        <v>44</v>
      </c>
      <c r="E570">
        <v>5</v>
      </c>
      <c r="F570" t="s">
        <v>198</v>
      </c>
      <c r="G570" s="3">
        <v>34024</v>
      </c>
      <c r="H570" s="6" t="s">
        <v>1761</v>
      </c>
    </row>
    <row r="571" spans="1:8" x14ac:dyDescent="0.25">
      <c r="A571" t="s">
        <v>1762</v>
      </c>
      <c r="B571">
        <v>2014</v>
      </c>
      <c r="C571">
        <v>84</v>
      </c>
      <c r="D571" t="s">
        <v>178</v>
      </c>
      <c r="E571">
        <v>5</v>
      </c>
      <c r="F571" t="s">
        <v>728</v>
      </c>
      <c r="G571" s="3">
        <v>44216</v>
      </c>
      <c r="H571" s="6" t="s">
        <v>1763</v>
      </c>
    </row>
    <row r="572" spans="1:8" x14ac:dyDescent="0.25">
      <c r="A572" t="s">
        <v>1764</v>
      </c>
      <c r="B572">
        <v>2006</v>
      </c>
      <c r="C572">
        <v>102</v>
      </c>
      <c r="D572" t="s">
        <v>72</v>
      </c>
      <c r="E572">
        <v>5</v>
      </c>
      <c r="F572" t="s">
        <v>672</v>
      </c>
      <c r="G572" s="3">
        <v>50475</v>
      </c>
      <c r="H572" s="6" t="s">
        <v>1765</v>
      </c>
    </row>
    <row r="573" spans="1:8" x14ac:dyDescent="0.25">
      <c r="A573" t="s">
        <v>1766</v>
      </c>
      <c r="B573">
        <v>2012</v>
      </c>
      <c r="C573">
        <v>80</v>
      </c>
      <c r="D573" t="s">
        <v>72</v>
      </c>
      <c r="E573">
        <v>5</v>
      </c>
      <c r="F573" t="s">
        <v>1088</v>
      </c>
      <c r="G573" s="3">
        <v>36765</v>
      </c>
      <c r="H573" s="6" t="s">
        <v>568</v>
      </c>
    </row>
    <row r="574" spans="1:8" x14ac:dyDescent="0.25">
      <c r="A574" t="s">
        <v>1767</v>
      </c>
      <c r="B574">
        <v>2005</v>
      </c>
      <c r="C574">
        <v>83</v>
      </c>
      <c r="D574" t="s">
        <v>42</v>
      </c>
      <c r="E574">
        <v>5</v>
      </c>
      <c r="F574" t="s">
        <v>1768</v>
      </c>
      <c r="G574" s="3">
        <v>26374</v>
      </c>
      <c r="H574" s="6" t="s">
        <v>1769</v>
      </c>
    </row>
    <row r="575" spans="1:8" x14ac:dyDescent="0.25">
      <c r="A575" t="s">
        <v>1770</v>
      </c>
      <c r="B575">
        <v>2015</v>
      </c>
      <c r="C575">
        <v>99</v>
      </c>
      <c r="D575" t="s">
        <v>35</v>
      </c>
      <c r="E575">
        <v>4.9000000000000004</v>
      </c>
      <c r="F575" t="s">
        <v>1247</v>
      </c>
      <c r="G575" s="3">
        <v>99384</v>
      </c>
      <c r="H575" s="6" t="s">
        <v>411</v>
      </c>
    </row>
    <row r="576" spans="1:8" x14ac:dyDescent="0.25">
      <c r="A576" t="s">
        <v>1771</v>
      </c>
      <c r="B576">
        <v>2011</v>
      </c>
      <c r="C576">
        <v>89</v>
      </c>
      <c r="D576" t="s">
        <v>62</v>
      </c>
      <c r="E576">
        <v>4.9000000000000004</v>
      </c>
      <c r="F576" t="s">
        <v>1772</v>
      </c>
      <c r="G576" s="3">
        <v>62428</v>
      </c>
      <c r="H576" s="6" t="s">
        <v>1773</v>
      </c>
    </row>
    <row r="577" spans="1:8" x14ac:dyDescent="0.25">
      <c r="A577" t="s">
        <v>1774</v>
      </c>
      <c r="B577">
        <v>2020</v>
      </c>
      <c r="C577">
        <v>109</v>
      </c>
      <c r="D577" t="s">
        <v>284</v>
      </c>
      <c r="E577">
        <v>4.9000000000000004</v>
      </c>
      <c r="F577" t="s">
        <v>1412</v>
      </c>
      <c r="G577" s="3">
        <v>55082</v>
      </c>
      <c r="H577" s="6" t="s">
        <v>1775</v>
      </c>
    </row>
    <row r="578" spans="1:8" x14ac:dyDescent="0.25">
      <c r="A578" t="s">
        <v>1776</v>
      </c>
      <c r="B578">
        <v>2000</v>
      </c>
      <c r="C578">
        <v>99</v>
      </c>
      <c r="D578" t="s">
        <v>438</v>
      </c>
      <c r="E578">
        <v>4.9000000000000004</v>
      </c>
      <c r="F578" t="s">
        <v>1619</v>
      </c>
      <c r="G578" s="3">
        <v>35130</v>
      </c>
      <c r="H578" s="6" t="s">
        <v>1777</v>
      </c>
    </row>
    <row r="579" spans="1:8" x14ac:dyDescent="0.25">
      <c r="A579" t="s">
        <v>1778</v>
      </c>
      <c r="B579">
        <v>2012</v>
      </c>
      <c r="C579">
        <v>95</v>
      </c>
      <c r="D579" t="s">
        <v>14</v>
      </c>
      <c r="E579">
        <v>4.9000000000000004</v>
      </c>
      <c r="F579" t="s">
        <v>1198</v>
      </c>
      <c r="G579" s="3">
        <v>65270</v>
      </c>
      <c r="H579" s="6" t="s">
        <v>1779</v>
      </c>
    </row>
    <row r="580" spans="1:8" x14ac:dyDescent="0.25">
      <c r="A580" t="s">
        <v>1780</v>
      </c>
      <c r="B580">
        <v>2004</v>
      </c>
      <c r="C580">
        <v>87</v>
      </c>
      <c r="D580" t="s">
        <v>308</v>
      </c>
      <c r="E580">
        <v>4.9000000000000004</v>
      </c>
      <c r="F580" t="s">
        <v>1517</v>
      </c>
      <c r="G580" s="3">
        <v>47581</v>
      </c>
      <c r="H580" s="6" t="s">
        <v>1781</v>
      </c>
    </row>
    <row r="581" spans="1:8" x14ac:dyDescent="0.25">
      <c r="A581" t="s">
        <v>1782</v>
      </c>
      <c r="B581">
        <v>2001</v>
      </c>
      <c r="C581">
        <v>98</v>
      </c>
      <c r="D581" t="s">
        <v>325</v>
      </c>
      <c r="E581">
        <v>4.9000000000000004</v>
      </c>
      <c r="F581" t="s">
        <v>25</v>
      </c>
      <c r="G581" s="3">
        <v>56213</v>
      </c>
      <c r="H581" s="6" t="s">
        <v>1783</v>
      </c>
    </row>
    <row r="582" spans="1:8" x14ac:dyDescent="0.25">
      <c r="A582" t="s">
        <v>268</v>
      </c>
      <c r="B582">
        <v>2015</v>
      </c>
      <c r="C582">
        <v>93</v>
      </c>
      <c r="D582" t="s">
        <v>72</v>
      </c>
      <c r="E582">
        <v>4.9000000000000004</v>
      </c>
      <c r="F582" t="s">
        <v>1784</v>
      </c>
      <c r="G582" s="3">
        <v>59621</v>
      </c>
      <c r="H582" s="6" t="s">
        <v>1785</v>
      </c>
    </row>
    <row r="583" spans="1:8" x14ac:dyDescent="0.25">
      <c r="A583" t="s">
        <v>1786</v>
      </c>
      <c r="B583">
        <v>2003</v>
      </c>
      <c r="C583">
        <v>86</v>
      </c>
      <c r="D583" t="s">
        <v>284</v>
      </c>
      <c r="E583">
        <v>4.9000000000000004</v>
      </c>
      <c r="F583" t="s">
        <v>1365</v>
      </c>
      <c r="G583" s="3">
        <v>32613</v>
      </c>
      <c r="H583" s="6" t="s">
        <v>1787</v>
      </c>
    </row>
    <row r="584" spans="1:8" x14ac:dyDescent="0.25">
      <c r="A584" t="s">
        <v>1788</v>
      </c>
      <c r="B584">
        <v>2001</v>
      </c>
      <c r="C584">
        <v>96</v>
      </c>
      <c r="D584" t="s">
        <v>14</v>
      </c>
      <c r="E584">
        <v>4.9000000000000004</v>
      </c>
      <c r="F584" t="s">
        <v>1472</v>
      </c>
      <c r="G584" s="3">
        <v>29306</v>
      </c>
      <c r="H584" s="6" t="s">
        <v>1789</v>
      </c>
    </row>
    <row r="585" spans="1:8" x14ac:dyDescent="0.25">
      <c r="A585" t="s">
        <v>1790</v>
      </c>
      <c r="B585">
        <v>1989</v>
      </c>
      <c r="C585">
        <v>96</v>
      </c>
      <c r="D585" t="s">
        <v>72</v>
      </c>
      <c r="E585">
        <v>4.9000000000000004</v>
      </c>
      <c r="F585" t="s">
        <v>1791</v>
      </c>
      <c r="G585" s="3">
        <v>44618</v>
      </c>
      <c r="H585" s="6" t="s">
        <v>1792</v>
      </c>
    </row>
    <row r="586" spans="1:8" x14ac:dyDescent="0.25">
      <c r="A586" t="s">
        <v>1793</v>
      </c>
      <c r="B586">
        <v>2010</v>
      </c>
      <c r="C586">
        <v>92</v>
      </c>
      <c r="D586" t="s">
        <v>14</v>
      </c>
      <c r="E586">
        <v>4.9000000000000004</v>
      </c>
      <c r="F586" t="s">
        <v>603</v>
      </c>
      <c r="G586" s="3">
        <v>26800</v>
      </c>
      <c r="H586" s="6" t="s">
        <v>836</v>
      </c>
    </row>
    <row r="587" spans="1:8" x14ac:dyDescent="0.25">
      <c r="A587" t="s">
        <v>1794</v>
      </c>
      <c r="B587">
        <v>1997</v>
      </c>
      <c r="C587">
        <v>89</v>
      </c>
      <c r="D587" t="s">
        <v>62</v>
      </c>
      <c r="E587">
        <v>4.8</v>
      </c>
      <c r="F587" t="s">
        <v>1795</v>
      </c>
      <c r="G587" s="2" t="s">
        <v>1796</v>
      </c>
      <c r="H587" s="6" t="s">
        <v>1797</v>
      </c>
    </row>
    <row r="588" spans="1:8" x14ac:dyDescent="0.25">
      <c r="A588" t="s">
        <v>1798</v>
      </c>
      <c r="B588">
        <v>2013</v>
      </c>
      <c r="C588">
        <v>92</v>
      </c>
      <c r="D588" t="s">
        <v>72</v>
      </c>
      <c r="E588">
        <v>4.8</v>
      </c>
      <c r="F588" t="s">
        <v>1799</v>
      </c>
      <c r="G588" s="3">
        <v>53682</v>
      </c>
      <c r="H588" s="6" t="s">
        <v>1800</v>
      </c>
    </row>
    <row r="589" spans="1:8" x14ac:dyDescent="0.25">
      <c r="A589" t="s">
        <v>1801</v>
      </c>
      <c r="B589">
        <v>2016</v>
      </c>
      <c r="C589">
        <v>93</v>
      </c>
      <c r="D589" t="s">
        <v>14</v>
      </c>
      <c r="E589">
        <v>4.8</v>
      </c>
      <c r="F589" t="s">
        <v>1802</v>
      </c>
      <c r="G589" s="3">
        <v>44543</v>
      </c>
      <c r="H589" s="6" t="s">
        <v>1803</v>
      </c>
    </row>
    <row r="590" spans="1:8" x14ac:dyDescent="0.25">
      <c r="A590" t="s">
        <v>1804</v>
      </c>
      <c r="B590">
        <v>1993</v>
      </c>
      <c r="C590">
        <v>92</v>
      </c>
      <c r="D590" t="s">
        <v>187</v>
      </c>
      <c r="E590">
        <v>4.8</v>
      </c>
      <c r="F590" t="s">
        <v>1805</v>
      </c>
      <c r="G590" s="3">
        <v>28663</v>
      </c>
      <c r="H590" s="6" t="s">
        <v>1806</v>
      </c>
    </row>
    <row r="591" spans="1:8" x14ac:dyDescent="0.25">
      <c r="A591" t="s">
        <v>1807</v>
      </c>
      <c r="B591">
        <v>2011</v>
      </c>
      <c r="C591">
        <v>91</v>
      </c>
      <c r="D591" t="s">
        <v>39</v>
      </c>
      <c r="E591">
        <v>4.8</v>
      </c>
      <c r="F591" t="s">
        <v>1808</v>
      </c>
      <c r="G591" s="3">
        <v>40236</v>
      </c>
      <c r="H591" s="6" t="s">
        <v>1809</v>
      </c>
    </row>
    <row r="592" spans="1:8" x14ac:dyDescent="0.25">
      <c r="A592" t="s">
        <v>843</v>
      </c>
      <c r="B592">
        <v>2009</v>
      </c>
      <c r="C592">
        <v>105</v>
      </c>
      <c r="D592" t="s">
        <v>30</v>
      </c>
      <c r="E592">
        <v>4.8</v>
      </c>
      <c r="F592" t="s">
        <v>621</v>
      </c>
      <c r="G592" s="3">
        <v>57387</v>
      </c>
      <c r="H592" s="6" t="s">
        <v>1810</v>
      </c>
    </row>
    <row r="593" spans="1:8" x14ac:dyDescent="0.25">
      <c r="A593" t="s">
        <v>1811</v>
      </c>
      <c r="B593">
        <v>2016</v>
      </c>
      <c r="C593">
        <v>94</v>
      </c>
      <c r="D593" t="s">
        <v>44</v>
      </c>
      <c r="E593">
        <v>4.8</v>
      </c>
      <c r="F593" t="s">
        <v>1812</v>
      </c>
      <c r="G593" s="3">
        <v>37146</v>
      </c>
      <c r="H593" s="6" t="s">
        <v>1813</v>
      </c>
    </row>
    <row r="594" spans="1:8" x14ac:dyDescent="0.25">
      <c r="A594" t="s">
        <v>1814</v>
      </c>
      <c r="B594">
        <v>2014</v>
      </c>
      <c r="C594">
        <v>98</v>
      </c>
      <c r="D594" t="s">
        <v>39</v>
      </c>
      <c r="E594">
        <v>4.8</v>
      </c>
      <c r="F594" t="s">
        <v>1815</v>
      </c>
      <c r="G594" s="3">
        <v>28992</v>
      </c>
      <c r="H594" s="6" t="s">
        <v>1816</v>
      </c>
    </row>
    <row r="595" spans="1:8" x14ac:dyDescent="0.25">
      <c r="A595" t="s">
        <v>1817</v>
      </c>
      <c r="B595">
        <v>2004</v>
      </c>
      <c r="C595">
        <v>102</v>
      </c>
      <c r="D595" t="s">
        <v>1068</v>
      </c>
      <c r="E595">
        <v>4.8</v>
      </c>
      <c r="F595" t="s">
        <v>1818</v>
      </c>
      <c r="G595" s="3">
        <v>26088</v>
      </c>
      <c r="H595" s="6" t="s">
        <v>1819</v>
      </c>
    </row>
    <row r="596" spans="1:8" x14ac:dyDescent="0.25">
      <c r="A596" t="s">
        <v>1820</v>
      </c>
      <c r="B596">
        <v>2009</v>
      </c>
      <c r="C596">
        <v>88</v>
      </c>
      <c r="D596" t="s">
        <v>14</v>
      </c>
      <c r="E596">
        <v>4.7</v>
      </c>
      <c r="F596" t="s">
        <v>1348</v>
      </c>
      <c r="G596" s="3">
        <v>52574</v>
      </c>
      <c r="H596" s="6" t="s">
        <v>1821</v>
      </c>
    </row>
    <row r="597" spans="1:8" x14ac:dyDescent="0.25">
      <c r="A597" t="s">
        <v>1822</v>
      </c>
      <c r="B597">
        <v>1985</v>
      </c>
      <c r="C597">
        <v>92</v>
      </c>
      <c r="D597" t="s">
        <v>14</v>
      </c>
      <c r="E597">
        <v>4.7</v>
      </c>
      <c r="F597" t="s">
        <v>1823</v>
      </c>
      <c r="G597" s="3">
        <v>41029</v>
      </c>
      <c r="H597" s="6" t="s">
        <v>1824</v>
      </c>
    </row>
    <row r="598" spans="1:8" x14ac:dyDescent="0.25">
      <c r="A598" t="s">
        <v>1825</v>
      </c>
      <c r="B598">
        <v>1998</v>
      </c>
      <c r="C598">
        <v>100</v>
      </c>
      <c r="D598" t="s">
        <v>14</v>
      </c>
      <c r="E598">
        <v>4.7</v>
      </c>
      <c r="F598" t="s">
        <v>1826</v>
      </c>
      <c r="G598" s="3">
        <v>76322</v>
      </c>
      <c r="H598" s="6" t="s">
        <v>1827</v>
      </c>
    </row>
    <row r="599" spans="1:8" x14ac:dyDescent="0.25">
      <c r="A599" t="s">
        <v>1828</v>
      </c>
      <c r="B599">
        <v>2004</v>
      </c>
      <c r="C599">
        <v>97</v>
      </c>
      <c r="D599" t="s">
        <v>62</v>
      </c>
      <c r="E599">
        <v>4.7</v>
      </c>
      <c r="F599" t="s">
        <v>1400</v>
      </c>
      <c r="G599" s="3">
        <v>32734</v>
      </c>
      <c r="H599" s="6" t="s">
        <v>1829</v>
      </c>
    </row>
    <row r="600" spans="1:8" x14ac:dyDescent="0.25">
      <c r="A600" t="s">
        <v>1830</v>
      </c>
      <c r="B600">
        <v>1995</v>
      </c>
      <c r="C600">
        <v>87</v>
      </c>
      <c r="D600" t="s">
        <v>72</v>
      </c>
      <c r="E600">
        <v>4.7</v>
      </c>
      <c r="F600" t="s">
        <v>1831</v>
      </c>
      <c r="G600" s="3">
        <v>39712</v>
      </c>
      <c r="H600" s="6" t="s">
        <v>1832</v>
      </c>
    </row>
    <row r="601" spans="1:8" x14ac:dyDescent="0.25">
      <c r="A601" t="s">
        <v>1833</v>
      </c>
      <c r="B601">
        <v>1991</v>
      </c>
      <c r="C601">
        <v>89</v>
      </c>
      <c r="D601" t="s">
        <v>48</v>
      </c>
      <c r="E601">
        <v>4.7</v>
      </c>
      <c r="F601" t="s">
        <v>1834</v>
      </c>
      <c r="G601" s="3">
        <v>48694</v>
      </c>
      <c r="H601" s="6" t="s">
        <v>1835</v>
      </c>
    </row>
    <row r="602" spans="1:8" x14ac:dyDescent="0.25">
      <c r="A602" t="s">
        <v>1836</v>
      </c>
      <c r="B602">
        <v>2006</v>
      </c>
      <c r="C602">
        <v>90</v>
      </c>
      <c r="D602" t="s">
        <v>344</v>
      </c>
      <c r="E602">
        <v>4.7</v>
      </c>
      <c r="F602" t="s">
        <v>1837</v>
      </c>
      <c r="G602" s="3">
        <v>30021</v>
      </c>
      <c r="H602" s="6" t="s">
        <v>1838</v>
      </c>
    </row>
    <row r="603" spans="1:8" x14ac:dyDescent="0.25">
      <c r="A603" t="s">
        <v>1839</v>
      </c>
      <c r="B603">
        <v>2007</v>
      </c>
      <c r="C603">
        <v>94</v>
      </c>
      <c r="D603" t="s">
        <v>62</v>
      </c>
      <c r="E603">
        <v>4.5999999999999996</v>
      </c>
      <c r="F603" t="s">
        <v>1840</v>
      </c>
      <c r="G603" s="2" t="s">
        <v>1841</v>
      </c>
      <c r="H603" s="6" t="s">
        <v>1842</v>
      </c>
    </row>
    <row r="604" spans="1:8" x14ac:dyDescent="0.25">
      <c r="A604" t="s">
        <v>13</v>
      </c>
      <c r="B604">
        <v>1998</v>
      </c>
      <c r="C604">
        <v>105</v>
      </c>
      <c r="D604" t="s">
        <v>14</v>
      </c>
      <c r="E604">
        <v>4.5999999999999996</v>
      </c>
      <c r="F604" t="s">
        <v>1843</v>
      </c>
      <c r="G604" s="3">
        <v>49550</v>
      </c>
      <c r="H604" s="6" t="s">
        <v>1844</v>
      </c>
    </row>
    <row r="605" spans="1:8" x14ac:dyDescent="0.25">
      <c r="A605" t="s">
        <v>1845</v>
      </c>
      <c r="B605">
        <v>2012</v>
      </c>
      <c r="C605">
        <v>88</v>
      </c>
      <c r="D605" t="s">
        <v>178</v>
      </c>
      <c r="E605">
        <v>4.5999999999999996</v>
      </c>
      <c r="F605" t="s">
        <v>1409</v>
      </c>
      <c r="G605" s="3">
        <v>68431</v>
      </c>
      <c r="H605" s="6" t="s">
        <v>1846</v>
      </c>
    </row>
    <row r="606" spans="1:8" x14ac:dyDescent="0.25">
      <c r="A606" t="s">
        <v>1847</v>
      </c>
      <c r="B606">
        <v>2014</v>
      </c>
      <c r="C606">
        <v>89</v>
      </c>
      <c r="D606" t="s">
        <v>14</v>
      </c>
      <c r="E606">
        <v>4.5999999999999996</v>
      </c>
      <c r="F606" t="s">
        <v>1848</v>
      </c>
      <c r="G606" s="3">
        <v>25483</v>
      </c>
      <c r="H606" s="6" t="s">
        <v>1849</v>
      </c>
    </row>
    <row r="607" spans="1:8" x14ac:dyDescent="0.25">
      <c r="A607" t="s">
        <v>412</v>
      </c>
      <c r="B607">
        <v>2006</v>
      </c>
      <c r="C607">
        <v>95</v>
      </c>
      <c r="D607" t="s">
        <v>30</v>
      </c>
      <c r="E607">
        <v>4.5999999999999996</v>
      </c>
      <c r="F607" t="s">
        <v>1850</v>
      </c>
      <c r="G607" s="3">
        <v>28952</v>
      </c>
      <c r="H607" s="6" t="s">
        <v>1851</v>
      </c>
    </row>
    <row r="608" spans="1:8" x14ac:dyDescent="0.25">
      <c r="A608" t="s">
        <v>1852</v>
      </c>
      <c r="B608">
        <v>2015</v>
      </c>
      <c r="C608">
        <v>88</v>
      </c>
      <c r="D608" t="s">
        <v>178</v>
      </c>
      <c r="E608">
        <v>4.5999999999999996</v>
      </c>
      <c r="F608" t="s">
        <v>1853</v>
      </c>
      <c r="G608" s="3">
        <v>29413</v>
      </c>
      <c r="H608" s="6" t="s">
        <v>891</v>
      </c>
    </row>
    <row r="609" spans="1:8" x14ac:dyDescent="0.25">
      <c r="A609" t="s">
        <v>1854</v>
      </c>
      <c r="B609">
        <v>1996</v>
      </c>
      <c r="C609">
        <v>96</v>
      </c>
      <c r="D609" t="s">
        <v>344</v>
      </c>
      <c r="E609">
        <v>4.5</v>
      </c>
      <c r="F609" t="s">
        <v>1855</v>
      </c>
      <c r="G609" s="3">
        <v>34527</v>
      </c>
      <c r="H609" s="6" t="s">
        <v>1856</v>
      </c>
    </row>
    <row r="610" spans="1:8" x14ac:dyDescent="0.25">
      <c r="A610" t="s">
        <v>1857</v>
      </c>
      <c r="B610">
        <v>2014</v>
      </c>
      <c r="C610">
        <v>89</v>
      </c>
      <c r="D610" t="s">
        <v>14</v>
      </c>
      <c r="E610">
        <v>4.5</v>
      </c>
      <c r="F610" t="s">
        <v>1858</v>
      </c>
      <c r="G610" s="3">
        <v>54888</v>
      </c>
      <c r="H610" s="6" t="s">
        <v>1859</v>
      </c>
    </row>
    <row r="611" spans="1:8" x14ac:dyDescent="0.25">
      <c r="A611" t="s">
        <v>1860</v>
      </c>
      <c r="B611">
        <v>2017</v>
      </c>
      <c r="C611">
        <v>102</v>
      </c>
      <c r="D611" t="s">
        <v>42</v>
      </c>
      <c r="E611">
        <v>4.5</v>
      </c>
      <c r="F611" t="s">
        <v>1861</v>
      </c>
      <c r="G611" s="3">
        <v>41974</v>
      </c>
      <c r="H611" s="6" t="s">
        <v>1862</v>
      </c>
    </row>
    <row r="612" spans="1:8" x14ac:dyDescent="0.25">
      <c r="A612" t="s">
        <v>1863</v>
      </c>
      <c r="B612">
        <v>1998</v>
      </c>
      <c r="C612">
        <v>93</v>
      </c>
      <c r="D612" t="s">
        <v>325</v>
      </c>
      <c r="E612">
        <v>4.5</v>
      </c>
      <c r="F612" t="s">
        <v>353</v>
      </c>
      <c r="G612" s="3">
        <v>30268</v>
      </c>
      <c r="H612" s="6" t="s">
        <v>1695</v>
      </c>
    </row>
    <row r="613" spans="1:8" x14ac:dyDescent="0.25">
      <c r="A613" t="s">
        <v>1864</v>
      </c>
      <c r="B613">
        <v>1989</v>
      </c>
      <c r="C613">
        <v>100</v>
      </c>
      <c r="D613" t="s">
        <v>320</v>
      </c>
      <c r="E613">
        <v>4.5</v>
      </c>
      <c r="F613" t="s">
        <v>1865</v>
      </c>
      <c r="G613" s="3">
        <v>40404</v>
      </c>
      <c r="H613" s="6" t="s">
        <v>1866</v>
      </c>
    </row>
    <row r="614" spans="1:8" x14ac:dyDescent="0.25">
      <c r="A614" t="s">
        <v>1867</v>
      </c>
      <c r="B614">
        <v>2009</v>
      </c>
      <c r="C614">
        <v>92</v>
      </c>
      <c r="D614" t="s">
        <v>30</v>
      </c>
      <c r="E614">
        <v>4.4000000000000004</v>
      </c>
      <c r="F614" t="s">
        <v>1868</v>
      </c>
      <c r="G614" s="3">
        <v>82947</v>
      </c>
      <c r="H614" s="6" t="s">
        <v>1671</v>
      </c>
    </row>
    <row r="615" spans="1:8" x14ac:dyDescent="0.25">
      <c r="A615" t="s">
        <v>1869</v>
      </c>
      <c r="B615">
        <v>2001</v>
      </c>
      <c r="C615">
        <v>92</v>
      </c>
      <c r="D615" t="s">
        <v>325</v>
      </c>
      <c r="E615">
        <v>4.4000000000000004</v>
      </c>
      <c r="F615" t="s">
        <v>1870</v>
      </c>
      <c r="G615" s="3">
        <v>58799</v>
      </c>
      <c r="H615" s="6" t="s">
        <v>1871</v>
      </c>
    </row>
    <row r="616" spans="1:8" x14ac:dyDescent="0.25">
      <c r="A616" t="s">
        <v>1872</v>
      </c>
      <c r="B616">
        <v>2017</v>
      </c>
      <c r="C616">
        <v>96</v>
      </c>
      <c r="D616" t="s">
        <v>28</v>
      </c>
      <c r="E616">
        <v>4.3</v>
      </c>
      <c r="F616" t="s">
        <v>1873</v>
      </c>
      <c r="G616" s="3">
        <v>25127</v>
      </c>
      <c r="H616" s="6" t="s">
        <v>1874</v>
      </c>
    </row>
    <row r="617" spans="1:8" x14ac:dyDescent="0.25">
      <c r="A617" t="s">
        <v>1875</v>
      </c>
      <c r="B617">
        <v>2005</v>
      </c>
      <c r="C617">
        <v>89</v>
      </c>
      <c r="D617" t="s">
        <v>42</v>
      </c>
      <c r="E617">
        <v>4.2</v>
      </c>
      <c r="F617" t="s">
        <v>1876</v>
      </c>
      <c r="G617" s="3">
        <v>31868</v>
      </c>
      <c r="H617" s="6" t="s">
        <v>1877</v>
      </c>
    </row>
    <row r="618" spans="1:8" x14ac:dyDescent="0.25">
      <c r="A618" t="s">
        <v>1878</v>
      </c>
      <c r="B618">
        <v>2012</v>
      </c>
      <c r="C618">
        <v>83</v>
      </c>
      <c r="D618" t="s">
        <v>30</v>
      </c>
      <c r="E618">
        <v>4.2</v>
      </c>
      <c r="F618" t="s">
        <v>1210</v>
      </c>
      <c r="G618" s="3">
        <v>36661</v>
      </c>
      <c r="H618" s="6" t="s">
        <v>1879</v>
      </c>
    </row>
    <row r="619" spans="1:8" x14ac:dyDescent="0.25">
      <c r="A619" t="s">
        <v>1880</v>
      </c>
      <c r="B619">
        <v>1993</v>
      </c>
      <c r="C619">
        <v>87</v>
      </c>
      <c r="D619" t="s">
        <v>819</v>
      </c>
      <c r="E619">
        <v>4.0999999999999996</v>
      </c>
      <c r="F619" t="s">
        <v>1881</v>
      </c>
      <c r="G619" s="3">
        <v>34519</v>
      </c>
      <c r="H619" s="6" t="s">
        <v>1882</v>
      </c>
    </row>
    <row r="620" spans="1:8" x14ac:dyDescent="0.25">
      <c r="A620" t="s">
        <v>1883</v>
      </c>
      <c r="B620">
        <v>2011</v>
      </c>
      <c r="C620">
        <v>90</v>
      </c>
      <c r="D620" t="s">
        <v>62</v>
      </c>
      <c r="E620">
        <v>4</v>
      </c>
      <c r="F620" t="s">
        <v>1073</v>
      </c>
      <c r="G620" s="3">
        <v>26648</v>
      </c>
      <c r="H620" s="6" t="s">
        <v>1884</v>
      </c>
    </row>
    <row r="621" spans="1:8" x14ac:dyDescent="0.25">
      <c r="A621" t="s">
        <v>1885</v>
      </c>
      <c r="B621">
        <v>2008</v>
      </c>
      <c r="C621">
        <v>87</v>
      </c>
      <c r="D621" t="s">
        <v>178</v>
      </c>
      <c r="E621">
        <v>4</v>
      </c>
      <c r="F621" t="s">
        <v>1886</v>
      </c>
      <c r="G621" s="3">
        <v>33249</v>
      </c>
      <c r="H621" s="6" t="s">
        <v>1887</v>
      </c>
    </row>
    <row r="622" spans="1:8" x14ac:dyDescent="0.25">
      <c r="A622" t="s">
        <v>1888</v>
      </c>
      <c r="B622">
        <v>2000</v>
      </c>
      <c r="C622">
        <v>90</v>
      </c>
      <c r="D622" t="s">
        <v>763</v>
      </c>
      <c r="E622">
        <v>4</v>
      </c>
      <c r="F622" t="s">
        <v>1889</v>
      </c>
      <c r="G622" s="3">
        <v>39110</v>
      </c>
      <c r="H622" s="6" t="s">
        <v>1890</v>
      </c>
    </row>
    <row r="623" spans="1:8" x14ac:dyDescent="0.25">
      <c r="A623" t="s">
        <v>1891</v>
      </c>
      <c r="B623">
        <v>2008</v>
      </c>
      <c r="C623">
        <v>88</v>
      </c>
      <c r="D623" t="s">
        <v>30</v>
      </c>
      <c r="E623">
        <v>3.9</v>
      </c>
      <c r="F623" t="s">
        <v>1892</v>
      </c>
      <c r="G623" s="3">
        <v>36982</v>
      </c>
      <c r="H623" s="6" t="s">
        <v>1893</v>
      </c>
    </row>
    <row r="624" spans="1:8" x14ac:dyDescent="0.25">
      <c r="A624" t="s">
        <v>1894</v>
      </c>
      <c r="B624">
        <v>2002</v>
      </c>
      <c r="C624">
        <v>90</v>
      </c>
      <c r="D624" t="s">
        <v>72</v>
      </c>
      <c r="E624">
        <v>3.9</v>
      </c>
      <c r="F624" t="s">
        <v>844</v>
      </c>
      <c r="G624" s="3">
        <v>46928</v>
      </c>
      <c r="H624" s="6" t="s">
        <v>1427</v>
      </c>
    </row>
    <row r="625" spans="1:8" x14ac:dyDescent="0.25">
      <c r="A625" t="s">
        <v>1895</v>
      </c>
      <c r="B625">
        <v>2012</v>
      </c>
      <c r="C625">
        <v>83</v>
      </c>
      <c r="D625" t="s">
        <v>296</v>
      </c>
      <c r="E625">
        <v>3.8</v>
      </c>
      <c r="F625" t="s">
        <v>1097</v>
      </c>
      <c r="G625" s="3">
        <v>44248</v>
      </c>
      <c r="H625" s="6" t="s">
        <v>933</v>
      </c>
    </row>
    <row r="626" spans="1:8" x14ac:dyDescent="0.25">
      <c r="A626" t="s">
        <v>1896</v>
      </c>
      <c r="B626">
        <v>2011</v>
      </c>
      <c r="C626">
        <v>91</v>
      </c>
      <c r="D626" t="s">
        <v>30</v>
      </c>
      <c r="E626">
        <v>3.8</v>
      </c>
      <c r="F626" t="s">
        <v>1868</v>
      </c>
      <c r="G626" s="3">
        <v>40950</v>
      </c>
      <c r="H626" s="6" t="s">
        <v>1897</v>
      </c>
    </row>
    <row r="627" spans="1:8" x14ac:dyDescent="0.25">
      <c r="A627" t="s">
        <v>174</v>
      </c>
      <c r="B627">
        <v>2006</v>
      </c>
      <c r="C627">
        <v>102</v>
      </c>
      <c r="D627" t="s">
        <v>14</v>
      </c>
      <c r="E627">
        <v>3.8</v>
      </c>
      <c r="F627" t="s">
        <v>1898</v>
      </c>
      <c r="G627" s="3">
        <v>69700</v>
      </c>
      <c r="H627" s="6" t="s">
        <v>1899</v>
      </c>
    </row>
    <row r="628" spans="1:8" x14ac:dyDescent="0.25">
      <c r="A628" t="s">
        <v>1900</v>
      </c>
      <c r="B628">
        <v>1977</v>
      </c>
      <c r="C628">
        <v>117</v>
      </c>
      <c r="D628" t="s">
        <v>30</v>
      </c>
      <c r="E628">
        <v>3.8</v>
      </c>
      <c r="F628" t="s">
        <v>1901</v>
      </c>
      <c r="G628" s="3">
        <v>25949</v>
      </c>
      <c r="H628" s="6" t="s">
        <v>1902</v>
      </c>
    </row>
    <row r="629" spans="1:8" x14ac:dyDescent="0.25">
      <c r="A629" t="s">
        <v>1903</v>
      </c>
      <c r="B629">
        <v>1983</v>
      </c>
      <c r="C629">
        <v>99</v>
      </c>
      <c r="D629" t="s">
        <v>320</v>
      </c>
      <c r="E629">
        <v>3.7</v>
      </c>
      <c r="F629" t="s">
        <v>1904</v>
      </c>
      <c r="G629" s="3">
        <v>46082</v>
      </c>
      <c r="H629" s="6" t="s">
        <v>1905</v>
      </c>
    </row>
    <row r="630" spans="1:8" x14ac:dyDescent="0.25">
      <c r="A630" t="s">
        <v>581</v>
      </c>
      <c r="B630">
        <v>2005</v>
      </c>
      <c r="C630">
        <v>100</v>
      </c>
      <c r="D630" t="s">
        <v>178</v>
      </c>
      <c r="E630">
        <v>3.7</v>
      </c>
      <c r="F630" t="s">
        <v>1120</v>
      </c>
      <c r="G630" s="3">
        <v>38246</v>
      </c>
      <c r="H630" s="6" t="s">
        <v>1906</v>
      </c>
    </row>
    <row r="631" spans="1:8" x14ac:dyDescent="0.25">
      <c r="A631" t="s">
        <v>1907</v>
      </c>
      <c r="B631">
        <v>2007</v>
      </c>
      <c r="C631">
        <v>105</v>
      </c>
      <c r="D631" t="s">
        <v>14</v>
      </c>
      <c r="E631">
        <v>3.6</v>
      </c>
      <c r="F631" t="s">
        <v>1908</v>
      </c>
      <c r="G631" s="3">
        <v>30446</v>
      </c>
      <c r="H631" s="6" t="s">
        <v>1909</v>
      </c>
    </row>
    <row r="632" spans="1:8" x14ac:dyDescent="0.25">
      <c r="A632" t="s">
        <v>1910</v>
      </c>
      <c r="B632">
        <v>2013</v>
      </c>
      <c r="C632">
        <v>86</v>
      </c>
      <c r="D632" t="s">
        <v>44</v>
      </c>
      <c r="E632">
        <v>3.5</v>
      </c>
      <c r="F632" t="s">
        <v>1911</v>
      </c>
      <c r="G632" s="3">
        <v>74534</v>
      </c>
      <c r="H632" s="6" t="s">
        <v>1912</v>
      </c>
    </row>
    <row r="633" spans="1:8" x14ac:dyDescent="0.25">
      <c r="A633" t="s">
        <v>1913</v>
      </c>
      <c r="B633">
        <v>2010</v>
      </c>
      <c r="C633">
        <v>82</v>
      </c>
      <c r="D633" t="s">
        <v>44</v>
      </c>
      <c r="E633">
        <v>3.4</v>
      </c>
      <c r="F633" t="s">
        <v>1914</v>
      </c>
      <c r="G633" s="3">
        <v>50206</v>
      </c>
      <c r="H633" s="6" t="s">
        <v>1915</v>
      </c>
    </row>
    <row r="634" spans="1:8" x14ac:dyDescent="0.25">
      <c r="A634" t="s">
        <v>1916</v>
      </c>
      <c r="B634">
        <v>2018</v>
      </c>
      <c r="C634">
        <v>93</v>
      </c>
      <c r="D634" t="s">
        <v>14</v>
      </c>
      <c r="E634">
        <v>3.2</v>
      </c>
      <c r="F634" t="s">
        <v>1917</v>
      </c>
      <c r="G634" s="3">
        <v>36238</v>
      </c>
      <c r="H634" s="6" t="s">
        <v>169</v>
      </c>
    </row>
    <row r="635" spans="1:8" x14ac:dyDescent="0.25">
      <c r="A635" t="s">
        <v>1918</v>
      </c>
      <c r="B635">
        <v>1987</v>
      </c>
      <c r="C635">
        <v>89</v>
      </c>
      <c r="D635" t="s">
        <v>320</v>
      </c>
      <c r="E635">
        <v>3</v>
      </c>
      <c r="F635" t="s">
        <v>1919</v>
      </c>
      <c r="G635" s="3">
        <v>47708</v>
      </c>
      <c r="H635" s="6" t="s">
        <v>1920</v>
      </c>
    </row>
    <row r="636" spans="1:8" x14ac:dyDescent="0.25">
      <c r="A636" t="s">
        <v>1921</v>
      </c>
      <c r="B636">
        <v>2005</v>
      </c>
      <c r="C636">
        <v>95</v>
      </c>
      <c r="D636" t="s">
        <v>438</v>
      </c>
      <c r="E636">
        <v>3</v>
      </c>
      <c r="F636" t="s">
        <v>1922</v>
      </c>
      <c r="G636" s="3">
        <v>36527</v>
      </c>
      <c r="H636" s="6" t="s">
        <v>1923</v>
      </c>
    </row>
    <row r="637" spans="1:8" x14ac:dyDescent="0.25">
      <c r="A637" t="s">
        <v>1924</v>
      </c>
      <c r="B637">
        <v>2005</v>
      </c>
      <c r="C637">
        <v>96</v>
      </c>
      <c r="D637" t="s">
        <v>325</v>
      </c>
      <c r="E637">
        <v>2.4</v>
      </c>
      <c r="F637" t="s">
        <v>1922</v>
      </c>
      <c r="G637" s="3">
        <v>46403</v>
      </c>
      <c r="H637" s="6" t="s">
        <v>1925</v>
      </c>
    </row>
    <row r="638" spans="1:8" x14ac:dyDescent="0.25">
      <c r="A638" t="s">
        <v>1926</v>
      </c>
      <c r="B638">
        <v>2003</v>
      </c>
      <c r="C638">
        <v>90</v>
      </c>
      <c r="D638" t="s">
        <v>62</v>
      </c>
      <c r="E638">
        <v>2.1</v>
      </c>
      <c r="F638" t="s">
        <v>1922</v>
      </c>
      <c r="G638" s="3">
        <v>38041</v>
      </c>
      <c r="H638" s="6" t="s">
        <v>1927</v>
      </c>
    </row>
  </sheetData>
  <autoFilter ref="A1:H638" xr:uid="{00000000-0001-0000-01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7726-C110-4630-A249-D050A5708E1D}">
  <sheetPr codeName="Sheet2"/>
  <dimension ref="A1:K638"/>
  <sheetViews>
    <sheetView tabSelected="1" topLeftCell="E1" workbookViewId="0">
      <selection activeCell="K12" sqref="K12"/>
    </sheetView>
  </sheetViews>
  <sheetFormatPr defaultColWidth="21" defaultRowHeight="15" x14ac:dyDescent="0.25"/>
  <cols>
    <col min="3" max="4" width="21" style="8"/>
    <col min="7" max="7" width="24.5703125" customWidth="1"/>
    <col min="8" max="8" width="21" style="11"/>
    <col min="9" max="9" width="21" style="6"/>
  </cols>
  <sheetData>
    <row r="1" spans="1:11" s="1" customFormat="1" x14ac:dyDescent="0.25">
      <c r="A1" s="1" t="s">
        <v>0</v>
      </c>
      <c r="B1" s="1" t="s">
        <v>1</v>
      </c>
      <c r="C1" s="7" t="s">
        <v>1929</v>
      </c>
      <c r="D1" s="7" t="s">
        <v>1930</v>
      </c>
      <c r="E1" s="1" t="s">
        <v>3</v>
      </c>
      <c r="F1" s="1" t="s">
        <v>4</v>
      </c>
      <c r="G1" s="1" t="s">
        <v>5</v>
      </c>
      <c r="H1" s="10" t="s">
        <v>6</v>
      </c>
      <c r="I1" s="5" t="s">
        <v>7</v>
      </c>
      <c r="J1" s="1" t="s">
        <v>1931</v>
      </c>
      <c r="K1" s="1" t="s">
        <v>1932</v>
      </c>
    </row>
    <row r="2" spans="1:11" x14ac:dyDescent="0.25">
      <c r="A2" t="s">
        <v>8</v>
      </c>
      <c r="B2">
        <v>1979</v>
      </c>
      <c r="C2" s="8">
        <v>117</v>
      </c>
      <c r="D2" s="8">
        <f>C2*60</f>
        <v>7020</v>
      </c>
      <c r="E2" t="s">
        <v>9</v>
      </c>
      <c r="F2">
        <v>8.5</v>
      </c>
      <c r="G2" t="s">
        <v>10</v>
      </c>
      <c r="H2" s="11" t="s">
        <v>11</v>
      </c>
      <c r="I2" s="6">
        <v>78900000</v>
      </c>
      <c r="J2" s="9">
        <f>I2/C2</f>
        <v>674358.97435897437</v>
      </c>
      <c r="K2" s="9">
        <f>I2/D2</f>
        <v>11239.31623931624</v>
      </c>
    </row>
    <row r="3" spans="1:11" x14ac:dyDescent="0.25">
      <c r="A3" t="s">
        <v>13</v>
      </c>
      <c r="B3">
        <v>1960</v>
      </c>
      <c r="C3" s="8">
        <v>109</v>
      </c>
      <c r="D3" s="8">
        <f t="shared" ref="D3:D66" si="0">C3*60</f>
        <v>6540</v>
      </c>
      <c r="E3" t="s">
        <v>14</v>
      </c>
      <c r="F3">
        <v>8.5</v>
      </c>
      <c r="G3" t="s">
        <v>15</v>
      </c>
      <c r="H3" s="11" t="s">
        <v>16</v>
      </c>
      <c r="I3" s="6">
        <v>32000000</v>
      </c>
      <c r="J3" s="9">
        <f t="shared" ref="J3:J66" si="1">I3/C3</f>
        <v>293577.98165137612</v>
      </c>
      <c r="K3" s="9">
        <f t="shared" ref="K3:K66" si="2">I3/D3</f>
        <v>4892.9663608562687</v>
      </c>
    </row>
    <row r="4" spans="1:11" x14ac:dyDescent="0.25">
      <c r="A4" t="s">
        <v>18</v>
      </c>
      <c r="B4">
        <v>1980</v>
      </c>
      <c r="C4" s="8">
        <v>146</v>
      </c>
      <c r="D4" s="8">
        <f t="shared" si="0"/>
        <v>8760</v>
      </c>
      <c r="E4" t="s">
        <v>19</v>
      </c>
      <c r="F4">
        <v>8.4</v>
      </c>
      <c r="G4" t="s">
        <v>20</v>
      </c>
      <c r="H4" s="11" t="s">
        <v>21</v>
      </c>
      <c r="I4" s="6">
        <v>44020000</v>
      </c>
      <c r="J4" s="9">
        <f t="shared" si="1"/>
        <v>301506.84931506851</v>
      </c>
      <c r="K4" s="9">
        <f t="shared" si="2"/>
        <v>5025.1141552511417</v>
      </c>
    </row>
    <row r="5" spans="1:11" x14ac:dyDescent="0.25">
      <c r="A5" t="s">
        <v>23</v>
      </c>
      <c r="B5">
        <v>1982</v>
      </c>
      <c r="C5" s="8">
        <v>109</v>
      </c>
      <c r="D5" s="8">
        <f t="shared" si="0"/>
        <v>6540</v>
      </c>
      <c r="E5" t="s">
        <v>24</v>
      </c>
      <c r="F5">
        <v>8.1999999999999993</v>
      </c>
      <c r="G5" t="s">
        <v>25</v>
      </c>
      <c r="H5" s="11" t="s">
        <v>26</v>
      </c>
      <c r="I5" s="6">
        <v>13780000</v>
      </c>
      <c r="J5" s="9">
        <f t="shared" si="1"/>
        <v>126422.01834862385</v>
      </c>
      <c r="K5" s="9">
        <f t="shared" si="2"/>
        <v>2107.0336391437309</v>
      </c>
    </row>
    <row r="6" spans="1:11" x14ac:dyDescent="0.25">
      <c r="A6" t="s">
        <v>29</v>
      </c>
      <c r="B6">
        <v>1973</v>
      </c>
      <c r="C6" s="8">
        <v>122</v>
      </c>
      <c r="D6" s="8">
        <f t="shared" si="0"/>
        <v>7320</v>
      </c>
      <c r="E6" t="s">
        <v>30</v>
      </c>
      <c r="F6">
        <v>8.1</v>
      </c>
      <c r="G6" t="s">
        <v>31</v>
      </c>
      <c r="H6" s="11" t="s">
        <v>32</v>
      </c>
      <c r="I6" s="6">
        <v>232910000</v>
      </c>
      <c r="J6" s="9">
        <f t="shared" si="1"/>
        <v>1909098.3606557378</v>
      </c>
      <c r="K6" s="9">
        <f t="shared" si="2"/>
        <v>31818.306010928962</v>
      </c>
    </row>
    <row r="7" spans="1:11" x14ac:dyDescent="0.25">
      <c r="A7" t="s">
        <v>34</v>
      </c>
      <c r="B7">
        <v>1955</v>
      </c>
      <c r="C7" s="8">
        <v>117</v>
      </c>
      <c r="D7" s="8">
        <f t="shared" si="0"/>
        <v>7020</v>
      </c>
      <c r="E7" t="s">
        <v>35</v>
      </c>
      <c r="F7">
        <v>8.1</v>
      </c>
      <c r="G7" t="s">
        <v>36</v>
      </c>
      <c r="H7" s="11">
        <v>67456</v>
      </c>
      <c r="I7" s="6">
        <v>1090000</v>
      </c>
      <c r="J7" s="9">
        <f t="shared" si="1"/>
        <v>9316.2393162393164</v>
      </c>
      <c r="K7" s="9">
        <f t="shared" si="2"/>
        <v>155.27065527065528</v>
      </c>
    </row>
    <row r="8" spans="1:11" x14ac:dyDescent="0.25">
      <c r="A8" t="s">
        <v>38</v>
      </c>
      <c r="B8">
        <v>1962</v>
      </c>
      <c r="C8" s="8">
        <v>134</v>
      </c>
      <c r="D8" s="8">
        <f t="shared" si="0"/>
        <v>8040</v>
      </c>
      <c r="E8" t="s">
        <v>39</v>
      </c>
      <c r="F8">
        <v>8</v>
      </c>
      <c r="G8" t="s">
        <v>40</v>
      </c>
      <c r="H8" s="11">
        <v>58904</v>
      </c>
      <c r="I8" s="6">
        <v>4050000</v>
      </c>
      <c r="J8" s="9">
        <f t="shared" si="1"/>
        <v>30223.880597014926</v>
      </c>
      <c r="K8" s="9">
        <f t="shared" si="2"/>
        <v>503.73134328358208</v>
      </c>
    </row>
    <row r="9" spans="1:11" x14ac:dyDescent="0.25">
      <c r="A9" t="s">
        <v>43</v>
      </c>
      <c r="B9">
        <v>2004</v>
      </c>
      <c r="C9" s="8">
        <v>99</v>
      </c>
      <c r="D9" s="8">
        <f t="shared" si="0"/>
        <v>5940</v>
      </c>
      <c r="E9" t="s">
        <v>44</v>
      </c>
      <c r="F9">
        <v>7.9</v>
      </c>
      <c r="G9" t="s">
        <v>45</v>
      </c>
      <c r="H9" s="11" t="s">
        <v>46</v>
      </c>
      <c r="I9" s="6">
        <v>13540000</v>
      </c>
      <c r="J9" s="9">
        <f t="shared" si="1"/>
        <v>136767.67676767678</v>
      </c>
      <c r="K9" s="9">
        <f t="shared" si="2"/>
        <v>2279.4612794612794</v>
      </c>
    </row>
    <row r="10" spans="1:11" x14ac:dyDescent="0.25">
      <c r="A10" t="s">
        <v>49</v>
      </c>
      <c r="B10">
        <v>2008</v>
      </c>
      <c r="C10" s="8">
        <v>114</v>
      </c>
      <c r="D10" s="8">
        <f t="shared" si="0"/>
        <v>6840</v>
      </c>
      <c r="E10" t="s">
        <v>28</v>
      </c>
      <c r="F10">
        <v>7.9</v>
      </c>
      <c r="G10" t="s">
        <v>50</v>
      </c>
      <c r="H10" s="11" t="s">
        <v>51</v>
      </c>
      <c r="I10" s="6">
        <v>2120000</v>
      </c>
      <c r="J10" s="9">
        <f t="shared" si="1"/>
        <v>18596.491228070176</v>
      </c>
      <c r="K10" s="9">
        <f t="shared" si="2"/>
        <v>309.94152046783626</v>
      </c>
    </row>
    <row r="11" spans="1:11" x14ac:dyDescent="0.25">
      <c r="A11" t="s">
        <v>53</v>
      </c>
      <c r="B11">
        <v>1933</v>
      </c>
      <c r="C11" s="8">
        <v>100</v>
      </c>
      <c r="D11" s="8">
        <f t="shared" si="0"/>
        <v>6000</v>
      </c>
      <c r="E11" t="s">
        <v>54</v>
      </c>
      <c r="F11">
        <v>7.9</v>
      </c>
      <c r="G11" t="s">
        <v>55</v>
      </c>
      <c r="H11" s="11">
        <v>88019</v>
      </c>
      <c r="I11" s="6">
        <v>10000000</v>
      </c>
      <c r="J11" s="9">
        <f t="shared" si="1"/>
        <v>100000</v>
      </c>
      <c r="K11" s="9">
        <f t="shared" si="2"/>
        <v>1666.6666666666667</v>
      </c>
    </row>
    <row r="12" spans="1:11" x14ac:dyDescent="0.25">
      <c r="A12" t="s">
        <v>57</v>
      </c>
      <c r="B12">
        <v>2017</v>
      </c>
      <c r="C12" s="8">
        <v>104</v>
      </c>
      <c r="D12" s="8">
        <f t="shared" si="0"/>
        <v>6240</v>
      </c>
      <c r="E12" t="s">
        <v>14</v>
      </c>
      <c r="F12">
        <v>7.8</v>
      </c>
      <c r="G12" t="s">
        <v>58</v>
      </c>
      <c r="H12" s="11" t="s">
        <v>59</v>
      </c>
      <c r="I12" s="6">
        <v>176040000</v>
      </c>
      <c r="J12" s="9">
        <f t="shared" si="1"/>
        <v>1692692.3076923077</v>
      </c>
      <c r="K12" s="9">
        <f t="shared" si="2"/>
        <v>28211.538461538461</v>
      </c>
    </row>
    <row r="13" spans="1:11" x14ac:dyDescent="0.25">
      <c r="A13" t="s">
        <v>61</v>
      </c>
      <c r="B13">
        <v>1987</v>
      </c>
      <c r="C13" s="8">
        <v>107</v>
      </c>
      <c r="D13" s="8">
        <f t="shared" si="0"/>
        <v>6420</v>
      </c>
      <c r="E13" t="s">
        <v>62</v>
      </c>
      <c r="F13">
        <v>7.8</v>
      </c>
      <c r="G13" t="s">
        <v>63</v>
      </c>
      <c r="H13" s="11" t="s">
        <v>64</v>
      </c>
      <c r="I13" s="6">
        <v>59740000</v>
      </c>
      <c r="J13" s="9">
        <f t="shared" si="1"/>
        <v>558317.75700934581</v>
      </c>
      <c r="K13" s="9">
        <f t="shared" si="2"/>
        <v>9305.2959501557634</v>
      </c>
    </row>
    <row r="14" spans="1:11" x14ac:dyDescent="0.25">
      <c r="A14" t="s">
        <v>66</v>
      </c>
      <c r="B14">
        <v>2010</v>
      </c>
      <c r="C14" s="8">
        <v>144</v>
      </c>
      <c r="D14" s="8">
        <f t="shared" si="0"/>
        <v>8640</v>
      </c>
      <c r="E14" t="s">
        <v>67</v>
      </c>
      <c r="F14">
        <v>7.8</v>
      </c>
      <c r="G14" t="s">
        <v>68</v>
      </c>
      <c r="H14" s="11" t="s">
        <v>69</v>
      </c>
      <c r="I14" s="6">
        <v>130000</v>
      </c>
      <c r="J14" s="9">
        <f t="shared" si="1"/>
        <v>902.77777777777783</v>
      </c>
      <c r="K14" s="9">
        <f t="shared" si="2"/>
        <v>15.046296296296296</v>
      </c>
    </row>
    <row r="15" spans="1:11" x14ac:dyDescent="0.25">
      <c r="A15" t="s">
        <v>71</v>
      </c>
      <c r="B15">
        <v>1978</v>
      </c>
      <c r="C15" s="8">
        <v>127</v>
      </c>
      <c r="D15" s="8">
        <f t="shared" si="0"/>
        <v>7620</v>
      </c>
      <c r="E15" t="s">
        <v>72</v>
      </c>
      <c r="F15">
        <v>7.8</v>
      </c>
      <c r="G15" t="s">
        <v>73</v>
      </c>
      <c r="H15" s="11" t="s">
        <v>74</v>
      </c>
      <c r="I15" s="6">
        <v>5100000</v>
      </c>
      <c r="J15" s="9">
        <f t="shared" si="1"/>
        <v>40157.48031496063</v>
      </c>
      <c r="K15" s="9">
        <f t="shared" si="2"/>
        <v>669.29133858267721</v>
      </c>
    </row>
    <row r="16" spans="1:11" x14ac:dyDescent="0.25">
      <c r="A16" t="s">
        <v>76</v>
      </c>
      <c r="B16">
        <v>1968</v>
      </c>
      <c r="C16" s="8">
        <v>96</v>
      </c>
      <c r="D16" s="8">
        <f t="shared" si="0"/>
        <v>5760</v>
      </c>
      <c r="E16" t="s">
        <v>72</v>
      </c>
      <c r="F16">
        <v>7.8</v>
      </c>
      <c r="G16" t="s">
        <v>73</v>
      </c>
      <c r="H16" s="11" t="s">
        <v>77</v>
      </c>
      <c r="I16" s="6">
        <v>90000</v>
      </c>
      <c r="J16" s="9">
        <f t="shared" si="1"/>
        <v>937.5</v>
      </c>
      <c r="K16" s="9">
        <f t="shared" si="2"/>
        <v>15.625</v>
      </c>
    </row>
    <row r="17" spans="1:11" x14ac:dyDescent="0.25">
      <c r="A17" t="s">
        <v>79</v>
      </c>
      <c r="B17">
        <v>1932</v>
      </c>
      <c r="C17" s="8">
        <v>64</v>
      </c>
      <c r="D17" s="8">
        <f t="shared" si="0"/>
        <v>3840</v>
      </c>
      <c r="E17" t="s">
        <v>19</v>
      </c>
      <c r="F17">
        <v>7.8</v>
      </c>
      <c r="G17" t="s">
        <v>80</v>
      </c>
      <c r="H17" s="11">
        <v>48381</v>
      </c>
      <c r="I17" s="6">
        <v>630000</v>
      </c>
      <c r="J17" s="9">
        <f t="shared" si="1"/>
        <v>9843.75</v>
      </c>
      <c r="K17" s="9">
        <f t="shared" si="2"/>
        <v>164.0625</v>
      </c>
    </row>
    <row r="18" spans="1:11" x14ac:dyDescent="0.25">
      <c r="A18" t="s">
        <v>85</v>
      </c>
      <c r="B18">
        <v>1961</v>
      </c>
      <c r="C18" s="8">
        <v>100</v>
      </c>
      <c r="D18" s="8">
        <f t="shared" si="0"/>
        <v>6000</v>
      </c>
      <c r="E18" t="s">
        <v>30</v>
      </c>
      <c r="F18">
        <v>7.8</v>
      </c>
      <c r="G18" t="s">
        <v>86</v>
      </c>
      <c r="H18" s="11">
        <v>31689</v>
      </c>
      <c r="I18" s="6">
        <v>2620000</v>
      </c>
      <c r="J18" s="9">
        <f t="shared" si="1"/>
        <v>26200</v>
      </c>
      <c r="K18" s="9">
        <f t="shared" si="2"/>
        <v>436.66666666666669</v>
      </c>
    </row>
    <row r="19" spans="1:11" x14ac:dyDescent="0.25">
      <c r="A19" t="s">
        <v>88</v>
      </c>
      <c r="B19">
        <v>1935</v>
      </c>
      <c r="C19" s="8">
        <v>75</v>
      </c>
      <c r="D19" s="8">
        <f t="shared" si="0"/>
        <v>4500</v>
      </c>
      <c r="E19" t="s">
        <v>83</v>
      </c>
      <c r="F19">
        <v>7.8</v>
      </c>
      <c r="G19" t="s">
        <v>84</v>
      </c>
      <c r="H19" s="11">
        <v>50611</v>
      </c>
      <c r="I19" s="6">
        <v>4360000</v>
      </c>
      <c r="J19" s="9">
        <f t="shared" si="1"/>
        <v>58133.333333333336</v>
      </c>
      <c r="K19" s="9">
        <f t="shared" si="2"/>
        <v>968.88888888888891</v>
      </c>
    </row>
    <row r="20" spans="1:11" x14ac:dyDescent="0.25">
      <c r="A20" t="s">
        <v>90</v>
      </c>
      <c r="B20">
        <v>1987</v>
      </c>
      <c r="C20" s="8">
        <v>84</v>
      </c>
      <c r="D20" s="8">
        <f t="shared" si="0"/>
        <v>5040</v>
      </c>
      <c r="E20" t="s">
        <v>44</v>
      </c>
      <c r="F20">
        <v>7.7</v>
      </c>
      <c r="G20" t="s">
        <v>91</v>
      </c>
      <c r="H20" s="11" t="s">
        <v>92</v>
      </c>
      <c r="I20" s="6">
        <v>5920000</v>
      </c>
      <c r="J20" s="9">
        <f t="shared" si="1"/>
        <v>70476.190476190473</v>
      </c>
      <c r="K20" s="9">
        <f t="shared" si="2"/>
        <v>1174.6031746031747</v>
      </c>
    </row>
    <row r="21" spans="1:11" x14ac:dyDescent="0.25">
      <c r="A21" t="s">
        <v>94</v>
      </c>
      <c r="B21">
        <v>1978</v>
      </c>
      <c r="C21" s="8">
        <v>91</v>
      </c>
      <c r="D21" s="8">
        <f t="shared" si="0"/>
        <v>5460</v>
      </c>
      <c r="E21" t="s">
        <v>72</v>
      </c>
      <c r="F21">
        <v>7.7</v>
      </c>
      <c r="G21" t="s">
        <v>25</v>
      </c>
      <c r="H21" s="11" t="s">
        <v>95</v>
      </c>
      <c r="I21" s="6">
        <v>47000000</v>
      </c>
      <c r="J21" s="9">
        <f t="shared" si="1"/>
        <v>516483.51648351649</v>
      </c>
      <c r="K21" s="9">
        <f t="shared" si="2"/>
        <v>8608.0586080586072</v>
      </c>
    </row>
    <row r="22" spans="1:11" x14ac:dyDescent="0.25">
      <c r="A22" t="s">
        <v>98</v>
      </c>
      <c r="B22">
        <v>2000</v>
      </c>
      <c r="C22" s="8">
        <v>102</v>
      </c>
      <c r="D22" s="8">
        <f t="shared" si="0"/>
        <v>6120</v>
      </c>
      <c r="E22" t="s">
        <v>35</v>
      </c>
      <c r="F22">
        <v>7.6</v>
      </c>
      <c r="G22" t="s">
        <v>99</v>
      </c>
      <c r="H22" s="11" t="s">
        <v>100</v>
      </c>
      <c r="I22" s="6">
        <v>15070000</v>
      </c>
      <c r="J22" s="9">
        <f t="shared" si="1"/>
        <v>147745.09803921569</v>
      </c>
      <c r="K22" s="9">
        <f t="shared" si="2"/>
        <v>2462.418300653595</v>
      </c>
    </row>
    <row r="23" spans="1:11" x14ac:dyDescent="0.25">
      <c r="A23" t="s">
        <v>102</v>
      </c>
      <c r="B23">
        <v>2004</v>
      </c>
      <c r="C23" s="8">
        <v>103</v>
      </c>
      <c r="D23" s="8">
        <f t="shared" si="0"/>
        <v>6180</v>
      </c>
      <c r="E23" t="s">
        <v>14</v>
      </c>
      <c r="F23">
        <v>7.6</v>
      </c>
      <c r="G23" t="s">
        <v>103</v>
      </c>
      <c r="H23" s="11" t="s">
        <v>104</v>
      </c>
      <c r="I23" s="6">
        <v>56000000</v>
      </c>
      <c r="J23" s="9">
        <f t="shared" si="1"/>
        <v>543689.32038834947</v>
      </c>
      <c r="K23" s="9">
        <f t="shared" si="2"/>
        <v>9061.488673139158</v>
      </c>
    </row>
    <row r="24" spans="1:11" x14ac:dyDescent="0.25">
      <c r="A24" t="s">
        <v>106</v>
      </c>
      <c r="B24">
        <v>2016</v>
      </c>
      <c r="C24" s="8">
        <v>118</v>
      </c>
      <c r="D24" s="8">
        <f t="shared" si="0"/>
        <v>7080</v>
      </c>
      <c r="E24" t="s">
        <v>107</v>
      </c>
      <c r="F24">
        <v>7.6</v>
      </c>
      <c r="G24" t="s">
        <v>108</v>
      </c>
      <c r="H24" s="11" t="s">
        <v>109</v>
      </c>
      <c r="I24" s="6">
        <v>2130000</v>
      </c>
      <c r="J24" s="9">
        <f t="shared" si="1"/>
        <v>18050.847457627118</v>
      </c>
      <c r="K24" s="9">
        <f t="shared" si="2"/>
        <v>300.84745762711867</v>
      </c>
    </row>
    <row r="25" spans="1:11" x14ac:dyDescent="0.25">
      <c r="A25" t="s">
        <v>111</v>
      </c>
      <c r="B25">
        <v>1986</v>
      </c>
      <c r="C25" s="8">
        <v>96</v>
      </c>
      <c r="D25" s="8">
        <f t="shared" si="0"/>
        <v>5760</v>
      </c>
      <c r="E25" t="s">
        <v>83</v>
      </c>
      <c r="F25">
        <v>7.6</v>
      </c>
      <c r="G25" t="s">
        <v>112</v>
      </c>
      <c r="H25" s="11" t="s">
        <v>113</v>
      </c>
      <c r="I25" s="6">
        <v>40460000</v>
      </c>
      <c r="J25" s="9">
        <f t="shared" si="1"/>
        <v>421458.33333333331</v>
      </c>
      <c r="K25" s="9">
        <f t="shared" si="2"/>
        <v>7024.3055555555557</v>
      </c>
    </row>
    <row r="26" spans="1:11" x14ac:dyDescent="0.25">
      <c r="A26" t="s">
        <v>115</v>
      </c>
      <c r="B26">
        <v>2009</v>
      </c>
      <c r="C26" s="8">
        <v>88</v>
      </c>
      <c r="D26" s="8">
        <f t="shared" si="0"/>
        <v>5280</v>
      </c>
      <c r="E26" t="s">
        <v>116</v>
      </c>
      <c r="F26">
        <v>7.6</v>
      </c>
      <c r="G26" t="s">
        <v>117</v>
      </c>
      <c r="H26" s="11" t="s">
        <v>118</v>
      </c>
      <c r="I26" s="6">
        <v>75590000</v>
      </c>
      <c r="J26" s="9">
        <f t="shared" si="1"/>
        <v>858977.27272727271</v>
      </c>
      <c r="K26" s="9">
        <f t="shared" si="2"/>
        <v>14316.287878787878</v>
      </c>
    </row>
    <row r="27" spans="1:11" x14ac:dyDescent="0.25">
      <c r="A27" t="s">
        <v>120</v>
      </c>
      <c r="B27">
        <v>1963</v>
      </c>
      <c r="C27" s="8">
        <v>119</v>
      </c>
      <c r="D27" s="8">
        <f t="shared" si="0"/>
        <v>7140</v>
      </c>
      <c r="E27" t="s">
        <v>42</v>
      </c>
      <c r="F27">
        <v>7.6</v>
      </c>
      <c r="G27" t="s">
        <v>15</v>
      </c>
      <c r="H27" s="11" t="s">
        <v>121</v>
      </c>
      <c r="I27" s="6">
        <v>11400000</v>
      </c>
      <c r="J27" s="9">
        <f t="shared" si="1"/>
        <v>95798.319327731093</v>
      </c>
      <c r="K27" s="9">
        <f t="shared" si="2"/>
        <v>1596.6386554621849</v>
      </c>
    </row>
    <row r="28" spans="1:11" x14ac:dyDescent="0.25">
      <c r="A28" t="s">
        <v>123</v>
      </c>
      <c r="B28">
        <v>2011</v>
      </c>
      <c r="C28" s="8">
        <v>120</v>
      </c>
      <c r="D28" s="8">
        <f t="shared" si="0"/>
        <v>7200</v>
      </c>
      <c r="E28" t="s">
        <v>42</v>
      </c>
      <c r="F28">
        <v>7.6</v>
      </c>
      <c r="G28" t="s">
        <v>124</v>
      </c>
      <c r="H28" s="11" t="s">
        <v>125</v>
      </c>
      <c r="I28" s="6">
        <v>3190000</v>
      </c>
      <c r="J28" s="9">
        <f t="shared" si="1"/>
        <v>26583.333333333332</v>
      </c>
      <c r="K28" s="9">
        <f t="shared" si="2"/>
        <v>443.05555555555554</v>
      </c>
    </row>
    <row r="29" spans="1:11" x14ac:dyDescent="0.25">
      <c r="A29" t="s">
        <v>127</v>
      </c>
      <c r="B29">
        <v>2001</v>
      </c>
      <c r="C29" s="8">
        <v>104</v>
      </c>
      <c r="D29" s="8">
        <f t="shared" si="0"/>
        <v>6240</v>
      </c>
      <c r="E29" t="s">
        <v>14</v>
      </c>
      <c r="F29">
        <v>7.6</v>
      </c>
      <c r="G29" t="s">
        <v>128</v>
      </c>
      <c r="H29" s="11" t="s">
        <v>129</v>
      </c>
      <c r="I29" s="6">
        <v>96520000</v>
      </c>
      <c r="J29" s="9">
        <f t="shared" si="1"/>
        <v>928076.92307692312</v>
      </c>
      <c r="K29" s="9">
        <f t="shared" si="2"/>
        <v>15467.948717948719</v>
      </c>
    </row>
    <row r="30" spans="1:11" x14ac:dyDescent="0.25">
      <c r="A30" t="s">
        <v>131</v>
      </c>
      <c r="B30">
        <v>2014</v>
      </c>
      <c r="C30" s="8">
        <v>86</v>
      </c>
      <c r="D30" s="8">
        <f t="shared" si="0"/>
        <v>5160</v>
      </c>
      <c r="E30" t="s">
        <v>44</v>
      </c>
      <c r="F30">
        <v>7.6</v>
      </c>
      <c r="G30" t="s">
        <v>132</v>
      </c>
      <c r="H30" s="11" t="s">
        <v>133</v>
      </c>
      <c r="I30" s="6">
        <v>3330000</v>
      </c>
      <c r="J30" s="9">
        <f t="shared" si="1"/>
        <v>38720.930232558138</v>
      </c>
      <c r="K30" s="9">
        <f t="shared" si="2"/>
        <v>645.34883720930236</v>
      </c>
    </row>
    <row r="31" spans="1:11" x14ac:dyDescent="0.25">
      <c r="A31" t="s">
        <v>135</v>
      </c>
      <c r="B31">
        <v>1960</v>
      </c>
      <c r="C31" s="8">
        <v>90</v>
      </c>
      <c r="D31" s="8">
        <f t="shared" si="0"/>
        <v>5400</v>
      </c>
      <c r="E31" t="s">
        <v>19</v>
      </c>
      <c r="F31">
        <v>7.6</v>
      </c>
      <c r="G31" t="s">
        <v>136</v>
      </c>
      <c r="H31" s="11">
        <v>33321</v>
      </c>
      <c r="I31" s="6">
        <v>50000</v>
      </c>
      <c r="J31" s="9">
        <f t="shared" si="1"/>
        <v>555.55555555555554</v>
      </c>
      <c r="K31" s="9">
        <f t="shared" si="2"/>
        <v>9.2592592592592595</v>
      </c>
    </row>
    <row r="32" spans="1:11" x14ac:dyDescent="0.25">
      <c r="A32" t="s">
        <v>138</v>
      </c>
      <c r="B32">
        <v>2000</v>
      </c>
      <c r="C32" s="8">
        <v>103</v>
      </c>
      <c r="D32" s="8">
        <f t="shared" si="0"/>
        <v>6180</v>
      </c>
      <c r="E32" t="s">
        <v>139</v>
      </c>
      <c r="F32">
        <v>7.6</v>
      </c>
      <c r="G32" t="s">
        <v>140</v>
      </c>
      <c r="H32" s="11">
        <v>33553</v>
      </c>
      <c r="I32" s="6">
        <v>150000</v>
      </c>
      <c r="J32" s="9">
        <f t="shared" si="1"/>
        <v>1456.3106796116506</v>
      </c>
      <c r="K32" s="9">
        <f t="shared" si="2"/>
        <v>24.271844660194176</v>
      </c>
    </row>
    <row r="33" spans="1:11" x14ac:dyDescent="0.25">
      <c r="A33" t="s">
        <v>143</v>
      </c>
      <c r="B33">
        <v>1960</v>
      </c>
      <c r="C33" s="8">
        <v>101</v>
      </c>
      <c r="D33" s="8">
        <f t="shared" si="0"/>
        <v>6060</v>
      </c>
      <c r="E33" t="s">
        <v>39</v>
      </c>
      <c r="F33">
        <v>7.6</v>
      </c>
      <c r="G33" t="s">
        <v>144</v>
      </c>
      <c r="H33" s="11">
        <v>37256</v>
      </c>
      <c r="I33" s="6">
        <v>80000</v>
      </c>
      <c r="J33" s="9">
        <f t="shared" si="1"/>
        <v>792.0792079207921</v>
      </c>
      <c r="K33" s="9">
        <f t="shared" si="2"/>
        <v>13.201320132013201</v>
      </c>
    </row>
    <row r="34" spans="1:11" x14ac:dyDescent="0.25">
      <c r="A34" t="s">
        <v>146</v>
      </c>
      <c r="B34">
        <v>2013</v>
      </c>
      <c r="C34" s="8">
        <v>112</v>
      </c>
      <c r="D34" s="8">
        <f t="shared" si="0"/>
        <v>6720</v>
      </c>
      <c r="E34" t="s">
        <v>14</v>
      </c>
      <c r="F34">
        <v>7.5</v>
      </c>
      <c r="G34" t="s">
        <v>103</v>
      </c>
      <c r="H34" s="11" t="s">
        <v>147</v>
      </c>
      <c r="I34" s="6">
        <v>137400000</v>
      </c>
      <c r="J34" s="9">
        <f t="shared" si="1"/>
        <v>1226785.7142857143</v>
      </c>
      <c r="K34" s="9">
        <f t="shared" si="2"/>
        <v>20446.428571428572</v>
      </c>
    </row>
    <row r="35" spans="1:11" x14ac:dyDescent="0.25">
      <c r="A35" t="s">
        <v>149</v>
      </c>
      <c r="B35">
        <v>2018</v>
      </c>
      <c r="C35" s="8">
        <v>90</v>
      </c>
      <c r="D35" s="8">
        <f t="shared" si="0"/>
        <v>5400</v>
      </c>
      <c r="E35" t="s">
        <v>83</v>
      </c>
      <c r="F35">
        <v>7.5</v>
      </c>
      <c r="G35" t="s">
        <v>150</v>
      </c>
      <c r="H35" s="11" t="s">
        <v>151</v>
      </c>
      <c r="I35" s="6">
        <v>188020000</v>
      </c>
      <c r="J35" s="9">
        <f t="shared" si="1"/>
        <v>2089111.111111111</v>
      </c>
      <c r="K35" s="9">
        <f t="shared" si="2"/>
        <v>34818.518518518518</v>
      </c>
    </row>
    <row r="36" spans="1:11" x14ac:dyDescent="0.25">
      <c r="A36" t="s">
        <v>153</v>
      </c>
      <c r="B36">
        <v>2002</v>
      </c>
      <c r="C36" s="8">
        <v>113</v>
      </c>
      <c r="D36" s="8">
        <f t="shared" si="0"/>
        <v>6780</v>
      </c>
      <c r="E36" t="s">
        <v>83</v>
      </c>
      <c r="F36">
        <v>7.5</v>
      </c>
      <c r="G36" t="s">
        <v>154</v>
      </c>
      <c r="H36" s="11" t="s">
        <v>155</v>
      </c>
      <c r="I36" s="6">
        <v>45060000</v>
      </c>
      <c r="J36" s="9">
        <f t="shared" si="1"/>
        <v>398761.06194690266</v>
      </c>
      <c r="K36" s="9">
        <f t="shared" si="2"/>
        <v>6646.0176991150438</v>
      </c>
    </row>
    <row r="37" spans="1:11" x14ac:dyDescent="0.25">
      <c r="A37" t="s">
        <v>157</v>
      </c>
      <c r="B37">
        <v>1994</v>
      </c>
      <c r="C37" s="8">
        <v>123</v>
      </c>
      <c r="D37" s="8">
        <f t="shared" si="0"/>
        <v>7380</v>
      </c>
      <c r="E37" t="s">
        <v>28</v>
      </c>
      <c r="F37">
        <v>7.5</v>
      </c>
      <c r="G37" t="s">
        <v>158</v>
      </c>
      <c r="H37" s="11" t="s">
        <v>159</v>
      </c>
      <c r="I37" s="6">
        <v>105260000</v>
      </c>
      <c r="J37" s="9">
        <f t="shared" si="1"/>
        <v>855772.35772357718</v>
      </c>
      <c r="K37" s="9">
        <f t="shared" si="2"/>
        <v>14262.872628726287</v>
      </c>
    </row>
    <row r="38" spans="1:11" x14ac:dyDescent="0.25">
      <c r="A38" t="s">
        <v>161</v>
      </c>
      <c r="B38">
        <v>1994</v>
      </c>
      <c r="C38" s="8">
        <v>102</v>
      </c>
      <c r="D38" s="8">
        <f t="shared" si="0"/>
        <v>6120</v>
      </c>
      <c r="E38" t="s">
        <v>162</v>
      </c>
      <c r="F38">
        <v>7.5</v>
      </c>
      <c r="G38" t="s">
        <v>163</v>
      </c>
      <c r="H38" s="11" t="s">
        <v>164</v>
      </c>
      <c r="I38" s="6">
        <v>50690000</v>
      </c>
      <c r="J38" s="9">
        <f t="shared" si="1"/>
        <v>496960.78431372548</v>
      </c>
      <c r="K38" s="9">
        <f t="shared" si="2"/>
        <v>8282.6797385620921</v>
      </c>
    </row>
    <row r="39" spans="1:11" x14ac:dyDescent="0.25">
      <c r="A39" t="s">
        <v>166</v>
      </c>
      <c r="B39">
        <v>1981</v>
      </c>
      <c r="C39" s="8">
        <v>97</v>
      </c>
      <c r="D39" s="8">
        <f t="shared" si="0"/>
        <v>5820</v>
      </c>
      <c r="E39" t="s">
        <v>44</v>
      </c>
      <c r="F39">
        <v>7.5</v>
      </c>
      <c r="G39" t="s">
        <v>167</v>
      </c>
      <c r="H39" s="11" t="s">
        <v>168</v>
      </c>
      <c r="I39" s="6">
        <v>30570000</v>
      </c>
      <c r="J39" s="9">
        <f t="shared" si="1"/>
        <v>315154.6391752577</v>
      </c>
      <c r="K39" s="9">
        <f t="shared" si="2"/>
        <v>5252.5773195876291</v>
      </c>
    </row>
    <row r="40" spans="1:11" x14ac:dyDescent="0.25">
      <c r="A40" t="s">
        <v>170</v>
      </c>
      <c r="B40">
        <v>2010</v>
      </c>
      <c r="C40" s="8">
        <v>89</v>
      </c>
      <c r="D40" s="8">
        <f t="shared" si="0"/>
        <v>5340</v>
      </c>
      <c r="E40" t="s">
        <v>44</v>
      </c>
      <c r="F40">
        <v>7.5</v>
      </c>
      <c r="G40" t="s">
        <v>171</v>
      </c>
      <c r="H40" s="11" t="s">
        <v>172</v>
      </c>
      <c r="I40" s="6">
        <v>220000</v>
      </c>
      <c r="J40" s="9">
        <f t="shared" si="1"/>
        <v>2471.9101123595506</v>
      </c>
      <c r="K40" s="9">
        <f t="shared" si="2"/>
        <v>41.198501872659179</v>
      </c>
    </row>
    <row r="41" spans="1:11" x14ac:dyDescent="0.25">
      <c r="A41" t="s">
        <v>174</v>
      </c>
      <c r="B41">
        <v>1973</v>
      </c>
      <c r="C41" s="8">
        <v>88</v>
      </c>
      <c r="D41" s="8">
        <f t="shared" si="0"/>
        <v>5280</v>
      </c>
      <c r="E41" t="s">
        <v>14</v>
      </c>
      <c r="F41">
        <v>7.5</v>
      </c>
      <c r="G41" t="s">
        <v>175</v>
      </c>
      <c r="H41" s="11">
        <v>85380</v>
      </c>
      <c r="I41" s="6">
        <v>60000</v>
      </c>
      <c r="J41" s="9">
        <f t="shared" si="1"/>
        <v>681.81818181818187</v>
      </c>
      <c r="K41" s="9">
        <f t="shared" si="2"/>
        <v>11.363636363636363</v>
      </c>
    </row>
    <row r="42" spans="1:11" x14ac:dyDescent="0.25">
      <c r="A42" t="s">
        <v>177</v>
      </c>
      <c r="B42">
        <v>1976</v>
      </c>
      <c r="C42" s="8">
        <v>111</v>
      </c>
      <c r="D42" s="8">
        <f t="shared" si="0"/>
        <v>6660</v>
      </c>
      <c r="E42" t="s">
        <v>178</v>
      </c>
      <c r="F42">
        <v>7.5</v>
      </c>
      <c r="G42" t="s">
        <v>179</v>
      </c>
      <c r="H42" s="11" t="s">
        <v>180</v>
      </c>
      <c r="I42" s="6">
        <v>4270000</v>
      </c>
      <c r="J42" s="9">
        <f t="shared" si="1"/>
        <v>38468.468468468469</v>
      </c>
      <c r="K42" s="9">
        <f t="shared" si="2"/>
        <v>641.14114114114113</v>
      </c>
    </row>
    <row r="43" spans="1:11" x14ac:dyDescent="0.25">
      <c r="A43" t="s">
        <v>182</v>
      </c>
      <c r="B43">
        <v>2007</v>
      </c>
      <c r="C43" s="8">
        <v>191</v>
      </c>
      <c r="D43" s="8">
        <f t="shared" si="0"/>
        <v>11460</v>
      </c>
      <c r="E43" t="s">
        <v>107</v>
      </c>
      <c r="F43">
        <v>7.5</v>
      </c>
      <c r="G43" t="s">
        <v>183</v>
      </c>
      <c r="H43" s="11" t="s">
        <v>184</v>
      </c>
      <c r="I43" s="6">
        <v>25040000</v>
      </c>
      <c r="J43" s="9">
        <f t="shared" si="1"/>
        <v>131099.47643979057</v>
      </c>
      <c r="K43" s="9">
        <f t="shared" si="2"/>
        <v>2184.9912739965098</v>
      </c>
    </row>
    <row r="44" spans="1:11" x14ac:dyDescent="0.25">
      <c r="A44" t="s">
        <v>186</v>
      </c>
      <c r="B44">
        <v>1992</v>
      </c>
      <c r="C44" s="8">
        <v>104</v>
      </c>
      <c r="D44" s="8">
        <f t="shared" si="0"/>
        <v>6240</v>
      </c>
      <c r="E44" t="s">
        <v>187</v>
      </c>
      <c r="F44">
        <v>7.5</v>
      </c>
      <c r="G44" t="s">
        <v>188</v>
      </c>
      <c r="H44" s="11" t="s">
        <v>189</v>
      </c>
      <c r="I44" s="6">
        <v>240000</v>
      </c>
      <c r="J44" s="9">
        <f t="shared" si="1"/>
        <v>2307.6923076923076</v>
      </c>
      <c r="K44" s="9">
        <f t="shared" si="2"/>
        <v>38.46153846153846</v>
      </c>
    </row>
    <row r="45" spans="1:11" x14ac:dyDescent="0.25">
      <c r="A45" t="s">
        <v>191</v>
      </c>
      <c r="B45">
        <v>1954</v>
      </c>
      <c r="C45" s="8">
        <v>96</v>
      </c>
      <c r="D45" s="8">
        <f t="shared" si="0"/>
        <v>5760</v>
      </c>
      <c r="E45" t="s">
        <v>9</v>
      </c>
      <c r="F45">
        <v>7.5</v>
      </c>
      <c r="G45" t="s">
        <v>192</v>
      </c>
      <c r="H45" s="11">
        <v>35705</v>
      </c>
      <c r="I45" s="6">
        <v>2420000</v>
      </c>
      <c r="J45" s="9">
        <f t="shared" si="1"/>
        <v>25208.333333333332</v>
      </c>
      <c r="K45" s="9">
        <f t="shared" si="2"/>
        <v>420.13888888888891</v>
      </c>
    </row>
    <row r="46" spans="1:11" x14ac:dyDescent="0.25">
      <c r="A46" t="s">
        <v>194</v>
      </c>
      <c r="B46">
        <v>1981</v>
      </c>
      <c r="C46" s="8">
        <v>85</v>
      </c>
      <c r="D46" s="8">
        <f t="shared" si="0"/>
        <v>5100</v>
      </c>
      <c r="E46" t="s">
        <v>30</v>
      </c>
      <c r="F46">
        <v>7.4</v>
      </c>
      <c r="G46" t="s">
        <v>91</v>
      </c>
      <c r="H46" s="11" t="s">
        <v>195</v>
      </c>
      <c r="I46" s="6">
        <v>2400000</v>
      </c>
      <c r="J46" s="9">
        <f t="shared" si="1"/>
        <v>28235.294117647059</v>
      </c>
      <c r="K46" s="9">
        <f t="shared" si="2"/>
        <v>470.58823529411762</v>
      </c>
    </row>
    <row r="47" spans="1:11" x14ac:dyDescent="0.25">
      <c r="A47" t="s">
        <v>197</v>
      </c>
      <c r="B47">
        <v>1996</v>
      </c>
      <c r="C47" s="8">
        <v>111</v>
      </c>
      <c r="D47" s="8">
        <f t="shared" si="0"/>
        <v>6660</v>
      </c>
      <c r="E47" t="s">
        <v>178</v>
      </c>
      <c r="F47">
        <v>7.4</v>
      </c>
      <c r="G47" t="s">
        <v>198</v>
      </c>
      <c r="H47" s="11" t="s">
        <v>199</v>
      </c>
      <c r="I47" s="6">
        <v>103050000</v>
      </c>
      <c r="J47" s="9">
        <f t="shared" si="1"/>
        <v>928378.37837837834</v>
      </c>
      <c r="K47" s="9">
        <f t="shared" si="2"/>
        <v>15472.972972972973</v>
      </c>
    </row>
    <row r="48" spans="1:11" x14ac:dyDescent="0.25">
      <c r="A48" t="s">
        <v>201</v>
      </c>
      <c r="B48">
        <v>1992</v>
      </c>
      <c r="C48" s="8">
        <v>128</v>
      </c>
      <c r="D48" s="8">
        <f t="shared" si="0"/>
        <v>7680</v>
      </c>
      <c r="E48" t="s">
        <v>28</v>
      </c>
      <c r="F48">
        <v>7.4</v>
      </c>
      <c r="G48" t="s">
        <v>202</v>
      </c>
      <c r="H48" s="11" t="s">
        <v>203</v>
      </c>
      <c r="I48" s="6">
        <v>82520000</v>
      </c>
      <c r="J48" s="9">
        <f t="shared" si="1"/>
        <v>644687.5</v>
      </c>
      <c r="K48" s="9">
        <f t="shared" si="2"/>
        <v>10744.791666666666</v>
      </c>
    </row>
    <row r="49" spans="1:11" x14ac:dyDescent="0.25">
      <c r="A49" t="s">
        <v>205</v>
      </c>
      <c r="B49">
        <v>1992</v>
      </c>
      <c r="C49" s="8">
        <v>81</v>
      </c>
      <c r="D49" s="8">
        <f t="shared" si="0"/>
        <v>4860</v>
      </c>
      <c r="E49" t="s">
        <v>44</v>
      </c>
      <c r="F49">
        <v>7.4</v>
      </c>
      <c r="G49" t="s">
        <v>91</v>
      </c>
      <c r="H49" s="11" t="s">
        <v>206</v>
      </c>
      <c r="I49" s="6">
        <v>11500000</v>
      </c>
      <c r="J49" s="9">
        <f t="shared" si="1"/>
        <v>141975.30864197531</v>
      </c>
      <c r="K49" s="9">
        <f t="shared" si="2"/>
        <v>2366.2551440329216</v>
      </c>
    </row>
    <row r="50" spans="1:11" x14ac:dyDescent="0.25">
      <c r="A50" t="s">
        <v>208</v>
      </c>
      <c r="B50">
        <v>1975</v>
      </c>
      <c r="C50" s="8">
        <v>100</v>
      </c>
      <c r="D50" s="8">
        <f t="shared" si="0"/>
        <v>6000</v>
      </c>
      <c r="E50" t="s">
        <v>209</v>
      </c>
      <c r="F50">
        <v>7.4</v>
      </c>
      <c r="G50" t="s">
        <v>210</v>
      </c>
      <c r="H50" s="11" t="s">
        <v>211</v>
      </c>
      <c r="I50" s="6">
        <v>139880000</v>
      </c>
      <c r="J50" s="9">
        <f t="shared" si="1"/>
        <v>1398800</v>
      </c>
      <c r="K50" s="9">
        <f t="shared" si="2"/>
        <v>23313.333333333332</v>
      </c>
    </row>
    <row r="51" spans="1:11" x14ac:dyDescent="0.25">
      <c r="A51" t="s">
        <v>213</v>
      </c>
      <c r="B51">
        <v>1984</v>
      </c>
      <c r="C51" s="8">
        <v>91</v>
      </c>
      <c r="D51" s="8">
        <f t="shared" si="0"/>
        <v>5460</v>
      </c>
      <c r="E51" t="s">
        <v>30</v>
      </c>
      <c r="F51">
        <v>7.4</v>
      </c>
      <c r="G51" t="s">
        <v>198</v>
      </c>
      <c r="H51" s="11" t="s">
        <v>214</v>
      </c>
      <c r="I51" s="6">
        <v>25500000</v>
      </c>
      <c r="J51" s="9">
        <f t="shared" si="1"/>
        <v>280219.78021978022</v>
      </c>
      <c r="K51" s="9">
        <f t="shared" si="2"/>
        <v>4670.3296703296701</v>
      </c>
    </row>
    <row r="52" spans="1:11" x14ac:dyDescent="0.25">
      <c r="A52" t="s">
        <v>216</v>
      </c>
      <c r="B52">
        <v>1974</v>
      </c>
      <c r="C52" s="8">
        <v>83</v>
      </c>
      <c r="D52" s="8">
        <f t="shared" si="0"/>
        <v>4980</v>
      </c>
      <c r="E52" t="s">
        <v>30</v>
      </c>
      <c r="F52">
        <v>7.4</v>
      </c>
      <c r="G52" t="s">
        <v>217</v>
      </c>
      <c r="H52" s="11" t="s">
        <v>218</v>
      </c>
      <c r="I52" s="6">
        <v>30860000</v>
      </c>
      <c r="J52" s="9">
        <f t="shared" si="1"/>
        <v>371807.22891566268</v>
      </c>
      <c r="K52" s="9">
        <f t="shared" si="2"/>
        <v>6196.7871485943779</v>
      </c>
    </row>
    <row r="53" spans="1:11" x14ac:dyDescent="0.25">
      <c r="A53" t="s">
        <v>220</v>
      </c>
      <c r="B53">
        <v>1976</v>
      </c>
      <c r="C53" s="8">
        <v>98</v>
      </c>
      <c r="D53" s="8">
        <f t="shared" si="0"/>
        <v>5880</v>
      </c>
      <c r="E53" t="s">
        <v>178</v>
      </c>
      <c r="F53">
        <v>7.4</v>
      </c>
      <c r="G53" t="s">
        <v>221</v>
      </c>
      <c r="H53" s="11" t="s">
        <v>222</v>
      </c>
      <c r="I53" s="6">
        <v>33800000</v>
      </c>
      <c r="J53" s="9">
        <f t="shared" si="1"/>
        <v>344897.95918367349</v>
      </c>
      <c r="K53" s="9">
        <f t="shared" si="2"/>
        <v>5748.2993197278911</v>
      </c>
    </row>
    <row r="54" spans="1:11" x14ac:dyDescent="0.25">
      <c r="A54" t="s">
        <v>224</v>
      </c>
      <c r="B54">
        <v>1990</v>
      </c>
      <c r="C54" s="8">
        <v>113</v>
      </c>
      <c r="D54" s="8">
        <f t="shared" si="0"/>
        <v>6780</v>
      </c>
      <c r="E54" t="s">
        <v>42</v>
      </c>
      <c r="F54">
        <v>7.4</v>
      </c>
      <c r="G54" t="s">
        <v>225</v>
      </c>
      <c r="H54" s="11" t="s">
        <v>226</v>
      </c>
      <c r="I54" s="6">
        <v>26120000</v>
      </c>
      <c r="J54" s="9">
        <f t="shared" si="1"/>
        <v>231150.44247787612</v>
      </c>
      <c r="K54" s="9">
        <f t="shared" si="2"/>
        <v>3852.5073746312682</v>
      </c>
    </row>
    <row r="55" spans="1:11" x14ac:dyDescent="0.25">
      <c r="A55" t="s">
        <v>97</v>
      </c>
      <c r="B55">
        <v>1978</v>
      </c>
      <c r="C55" s="8">
        <v>115</v>
      </c>
      <c r="D55" s="8">
        <f t="shared" si="0"/>
        <v>6900</v>
      </c>
      <c r="E55" t="s">
        <v>9</v>
      </c>
      <c r="F55">
        <v>7.4</v>
      </c>
      <c r="G55" t="s">
        <v>228</v>
      </c>
      <c r="H55" s="11">
        <v>64115</v>
      </c>
      <c r="I55" s="6">
        <v>24950000</v>
      </c>
      <c r="J55" s="9">
        <f t="shared" si="1"/>
        <v>216956.52173913043</v>
      </c>
      <c r="K55" s="9">
        <f t="shared" si="2"/>
        <v>3615.942028985507</v>
      </c>
    </row>
    <row r="56" spans="1:11" x14ac:dyDescent="0.25">
      <c r="A56" t="s">
        <v>231</v>
      </c>
      <c r="B56">
        <v>2007</v>
      </c>
      <c r="C56" s="8">
        <v>105</v>
      </c>
      <c r="D56" s="8">
        <f t="shared" si="0"/>
        <v>6300</v>
      </c>
      <c r="E56" t="s">
        <v>42</v>
      </c>
      <c r="F56">
        <v>7.4</v>
      </c>
      <c r="G56" t="s">
        <v>232</v>
      </c>
      <c r="H56" s="11" t="s">
        <v>233</v>
      </c>
      <c r="I56" s="6">
        <v>7160000</v>
      </c>
      <c r="J56" s="9">
        <f t="shared" si="1"/>
        <v>68190.476190476184</v>
      </c>
      <c r="K56" s="9">
        <f t="shared" si="2"/>
        <v>1136.5079365079366</v>
      </c>
    </row>
    <row r="57" spans="1:11" x14ac:dyDescent="0.25">
      <c r="A57" t="s">
        <v>235</v>
      </c>
      <c r="B57">
        <v>2001</v>
      </c>
      <c r="C57" s="8">
        <v>106</v>
      </c>
      <c r="D57" s="8">
        <f t="shared" si="0"/>
        <v>6360</v>
      </c>
      <c r="E57" t="s">
        <v>39</v>
      </c>
      <c r="F57">
        <v>7.4</v>
      </c>
      <c r="G57" t="s">
        <v>236</v>
      </c>
      <c r="H57" s="11">
        <v>68728</v>
      </c>
      <c r="I57" s="6">
        <v>750000</v>
      </c>
      <c r="J57" s="9">
        <f t="shared" si="1"/>
        <v>7075.4716981132078</v>
      </c>
      <c r="K57" s="9">
        <f t="shared" si="2"/>
        <v>117.9245283018868</v>
      </c>
    </row>
    <row r="58" spans="1:11" x14ac:dyDescent="0.25">
      <c r="A58" t="s">
        <v>238</v>
      </c>
      <c r="B58">
        <v>1963</v>
      </c>
      <c r="C58" s="8">
        <v>112</v>
      </c>
      <c r="D58" s="8">
        <f t="shared" si="0"/>
        <v>6720</v>
      </c>
      <c r="E58" t="s">
        <v>30</v>
      </c>
      <c r="F58">
        <v>7.4</v>
      </c>
      <c r="G58" t="s">
        <v>239</v>
      </c>
      <c r="H58" s="11">
        <v>40711</v>
      </c>
      <c r="I58" s="6">
        <v>2620000</v>
      </c>
      <c r="J58" s="9">
        <f t="shared" si="1"/>
        <v>23392.857142857141</v>
      </c>
      <c r="K58" s="9">
        <f t="shared" si="2"/>
        <v>389.88095238095241</v>
      </c>
    </row>
    <row r="59" spans="1:11" x14ac:dyDescent="0.25">
      <c r="A59" t="s">
        <v>241</v>
      </c>
      <c r="B59">
        <v>2007</v>
      </c>
      <c r="C59" s="8">
        <v>159</v>
      </c>
      <c r="D59" s="8">
        <f t="shared" si="0"/>
        <v>9540</v>
      </c>
      <c r="E59" t="s">
        <v>242</v>
      </c>
      <c r="F59">
        <v>7.4</v>
      </c>
      <c r="G59" t="s">
        <v>243</v>
      </c>
      <c r="H59" s="11">
        <v>30282</v>
      </c>
      <c r="I59" s="6">
        <v>1070000</v>
      </c>
      <c r="J59" s="9">
        <f t="shared" si="1"/>
        <v>6729.5597484276732</v>
      </c>
      <c r="K59" s="9">
        <f t="shared" si="2"/>
        <v>112.15932914046121</v>
      </c>
    </row>
    <row r="60" spans="1:11" x14ac:dyDescent="0.25">
      <c r="A60" t="s">
        <v>245</v>
      </c>
      <c r="B60">
        <v>2018</v>
      </c>
      <c r="C60" s="8">
        <v>127</v>
      </c>
      <c r="D60" s="8">
        <f t="shared" si="0"/>
        <v>7620</v>
      </c>
      <c r="E60" t="s">
        <v>42</v>
      </c>
      <c r="F60">
        <v>7.3</v>
      </c>
      <c r="G60" t="s">
        <v>246</v>
      </c>
      <c r="H60" s="11" t="s">
        <v>247</v>
      </c>
      <c r="I60" s="6">
        <v>44070000</v>
      </c>
      <c r="J60" s="9">
        <f t="shared" si="1"/>
        <v>347007.87401574804</v>
      </c>
      <c r="K60" s="9">
        <f t="shared" si="2"/>
        <v>5783.464566929134</v>
      </c>
    </row>
    <row r="61" spans="1:11" x14ac:dyDescent="0.25">
      <c r="A61" t="s">
        <v>249</v>
      </c>
      <c r="B61">
        <v>2017</v>
      </c>
      <c r="C61" s="8">
        <v>135</v>
      </c>
      <c r="D61" s="8">
        <f t="shared" si="0"/>
        <v>8100</v>
      </c>
      <c r="E61" t="s">
        <v>30</v>
      </c>
      <c r="F61">
        <v>7.3</v>
      </c>
      <c r="G61" t="s">
        <v>250</v>
      </c>
      <c r="H61" s="11" t="s">
        <v>251</v>
      </c>
      <c r="I61" s="6">
        <v>327480000</v>
      </c>
      <c r="J61" s="9">
        <f t="shared" si="1"/>
        <v>2425777.777777778</v>
      </c>
      <c r="K61" s="9">
        <f t="shared" si="2"/>
        <v>40429.629629629628</v>
      </c>
    </row>
    <row r="62" spans="1:11" x14ac:dyDescent="0.25">
      <c r="A62" t="s">
        <v>253</v>
      </c>
      <c r="B62">
        <v>2016</v>
      </c>
      <c r="C62" s="8">
        <v>117</v>
      </c>
      <c r="D62" s="8">
        <f t="shared" si="0"/>
        <v>7020</v>
      </c>
      <c r="E62" t="s">
        <v>72</v>
      </c>
      <c r="F62">
        <v>7.3</v>
      </c>
      <c r="G62" t="s">
        <v>254</v>
      </c>
      <c r="H62" s="11" t="s">
        <v>255</v>
      </c>
      <c r="I62" s="6">
        <v>138290000</v>
      </c>
      <c r="J62" s="9">
        <f t="shared" si="1"/>
        <v>1181965.811965812</v>
      </c>
      <c r="K62" s="9">
        <f t="shared" si="2"/>
        <v>19699.4301994302</v>
      </c>
    </row>
    <row r="63" spans="1:11" x14ac:dyDescent="0.25">
      <c r="A63" t="s">
        <v>257</v>
      </c>
      <c r="B63">
        <v>2019</v>
      </c>
      <c r="C63" s="8">
        <v>152</v>
      </c>
      <c r="D63" s="8">
        <f t="shared" si="0"/>
        <v>9120</v>
      </c>
      <c r="E63" t="s">
        <v>28</v>
      </c>
      <c r="F63">
        <v>7.3</v>
      </c>
      <c r="G63" t="s">
        <v>258</v>
      </c>
      <c r="H63" s="11" t="s">
        <v>259</v>
      </c>
      <c r="I63" s="6">
        <v>31580000</v>
      </c>
      <c r="J63" s="9">
        <f t="shared" si="1"/>
        <v>207763.15789473685</v>
      </c>
      <c r="K63" s="9">
        <f t="shared" si="2"/>
        <v>3462.719298245614</v>
      </c>
    </row>
    <row r="64" spans="1:11" x14ac:dyDescent="0.25">
      <c r="A64" t="s">
        <v>71</v>
      </c>
      <c r="B64">
        <v>2004</v>
      </c>
      <c r="C64" s="8">
        <v>101</v>
      </c>
      <c r="D64" s="8">
        <f t="shared" si="0"/>
        <v>6060</v>
      </c>
      <c r="E64" t="s">
        <v>261</v>
      </c>
      <c r="F64">
        <v>7.3</v>
      </c>
      <c r="G64" t="s">
        <v>262</v>
      </c>
      <c r="H64" s="11" t="s">
        <v>263</v>
      </c>
      <c r="I64" s="6">
        <v>59020000</v>
      </c>
      <c r="J64" s="9">
        <f t="shared" si="1"/>
        <v>584356.43564356433</v>
      </c>
      <c r="K64" s="9">
        <f t="shared" si="2"/>
        <v>9739.27392739274</v>
      </c>
    </row>
    <row r="65" spans="1:11" x14ac:dyDescent="0.25">
      <c r="A65" t="s">
        <v>265</v>
      </c>
      <c r="B65">
        <v>1981</v>
      </c>
      <c r="C65" s="8">
        <v>124</v>
      </c>
      <c r="D65" s="8">
        <f t="shared" si="0"/>
        <v>7440</v>
      </c>
      <c r="E65" t="s">
        <v>19</v>
      </c>
      <c r="F65">
        <v>7.3</v>
      </c>
      <c r="G65" t="s">
        <v>266</v>
      </c>
      <c r="H65" s="11">
        <v>36874</v>
      </c>
      <c r="I65" s="6">
        <v>1110000</v>
      </c>
      <c r="J65" s="9">
        <f t="shared" si="1"/>
        <v>8951.6129032258068</v>
      </c>
      <c r="K65" s="9">
        <f t="shared" si="2"/>
        <v>149.19354838709677</v>
      </c>
    </row>
    <row r="66" spans="1:11" x14ac:dyDescent="0.25">
      <c r="A66" t="s">
        <v>268</v>
      </c>
      <c r="B66">
        <v>1982</v>
      </c>
      <c r="C66" s="8">
        <v>114</v>
      </c>
      <c r="D66" s="8">
        <f t="shared" si="0"/>
        <v>6840</v>
      </c>
      <c r="E66" t="s">
        <v>72</v>
      </c>
      <c r="F66">
        <v>7.3</v>
      </c>
      <c r="G66" t="s">
        <v>217</v>
      </c>
      <c r="H66" s="11" t="s">
        <v>269</v>
      </c>
      <c r="I66" s="6">
        <v>76610000</v>
      </c>
      <c r="J66" s="9">
        <f t="shared" si="1"/>
        <v>672017.5438596491</v>
      </c>
      <c r="K66" s="9">
        <f t="shared" si="2"/>
        <v>11200.292397660818</v>
      </c>
    </row>
    <row r="67" spans="1:11" x14ac:dyDescent="0.25">
      <c r="A67" t="s">
        <v>271</v>
      </c>
      <c r="B67">
        <v>2007</v>
      </c>
      <c r="C67" s="8">
        <v>116</v>
      </c>
      <c r="D67" s="8">
        <f t="shared" ref="D67:D130" si="3">C67*60</f>
        <v>6960</v>
      </c>
      <c r="E67" t="s">
        <v>272</v>
      </c>
      <c r="F67">
        <v>7.3</v>
      </c>
      <c r="G67" t="s">
        <v>273</v>
      </c>
      <c r="H67" s="11" t="s">
        <v>274</v>
      </c>
      <c r="I67" s="6">
        <v>52900000</v>
      </c>
      <c r="J67" s="9">
        <f t="shared" ref="J67:J130" si="4">I67/C67</f>
        <v>456034.4827586207</v>
      </c>
      <c r="K67" s="9">
        <f t="shared" ref="K67:K130" si="5">I67/D67</f>
        <v>7600.5747126436781</v>
      </c>
    </row>
    <row r="68" spans="1:11" x14ac:dyDescent="0.25">
      <c r="A68" t="s">
        <v>276</v>
      </c>
      <c r="B68">
        <v>1984</v>
      </c>
      <c r="C68" s="8">
        <v>106</v>
      </c>
      <c r="D68" s="8">
        <f t="shared" si="3"/>
        <v>6360</v>
      </c>
      <c r="E68" t="s">
        <v>187</v>
      </c>
      <c r="F68">
        <v>7.3</v>
      </c>
      <c r="G68" t="s">
        <v>277</v>
      </c>
      <c r="H68" s="11" t="s">
        <v>278</v>
      </c>
      <c r="I68" s="6">
        <v>148170000</v>
      </c>
      <c r="J68" s="9">
        <f t="shared" si="4"/>
        <v>1397830.1886792453</v>
      </c>
      <c r="K68" s="9">
        <f t="shared" si="5"/>
        <v>23297.169811320753</v>
      </c>
    </row>
    <row r="69" spans="1:11" x14ac:dyDescent="0.25">
      <c r="A69" t="s">
        <v>280</v>
      </c>
      <c r="B69">
        <v>2016</v>
      </c>
      <c r="C69" s="8">
        <v>134</v>
      </c>
      <c r="D69" s="8">
        <f t="shared" si="3"/>
        <v>8040</v>
      </c>
      <c r="E69" t="s">
        <v>14</v>
      </c>
      <c r="F69">
        <v>7.3</v>
      </c>
      <c r="G69" t="s">
        <v>103</v>
      </c>
      <c r="H69" s="11" t="s">
        <v>281</v>
      </c>
      <c r="I69" s="6">
        <v>102470000</v>
      </c>
      <c r="J69" s="9">
        <f t="shared" si="4"/>
        <v>764701.49253731349</v>
      </c>
      <c r="K69" s="9">
        <f t="shared" si="5"/>
        <v>12745.02487562189</v>
      </c>
    </row>
    <row r="70" spans="1:11" x14ac:dyDescent="0.25">
      <c r="A70" t="s">
        <v>283</v>
      </c>
      <c r="B70">
        <v>1999</v>
      </c>
      <c r="C70" s="8">
        <v>105</v>
      </c>
      <c r="D70" s="8">
        <f t="shared" si="3"/>
        <v>6300</v>
      </c>
      <c r="E70" t="s">
        <v>284</v>
      </c>
      <c r="F70">
        <v>7.3</v>
      </c>
      <c r="G70" t="s">
        <v>273</v>
      </c>
      <c r="H70" s="11" t="s">
        <v>285</v>
      </c>
      <c r="I70" s="6">
        <v>101070000</v>
      </c>
      <c r="J70" s="9">
        <f t="shared" si="4"/>
        <v>962571.42857142852</v>
      </c>
      <c r="K70" s="9">
        <f t="shared" si="5"/>
        <v>16042.857142857143</v>
      </c>
    </row>
    <row r="71" spans="1:11" x14ac:dyDescent="0.25">
      <c r="A71" t="s">
        <v>287</v>
      </c>
      <c r="B71">
        <v>2011</v>
      </c>
      <c r="C71" s="8">
        <v>120</v>
      </c>
      <c r="D71" s="8">
        <f t="shared" si="3"/>
        <v>7200</v>
      </c>
      <c r="E71" t="s">
        <v>83</v>
      </c>
      <c r="F71">
        <v>7.3</v>
      </c>
      <c r="G71" t="s">
        <v>288</v>
      </c>
      <c r="H71" s="11" t="s">
        <v>289</v>
      </c>
      <c r="I71" s="6">
        <v>1730000</v>
      </c>
      <c r="J71" s="9">
        <f t="shared" si="4"/>
        <v>14416.666666666666</v>
      </c>
      <c r="K71" s="9">
        <f t="shared" si="5"/>
        <v>240.27777777777777</v>
      </c>
    </row>
    <row r="72" spans="1:11" x14ac:dyDescent="0.25">
      <c r="A72" t="s">
        <v>291</v>
      </c>
      <c r="B72">
        <v>1977</v>
      </c>
      <c r="C72" s="8">
        <v>89</v>
      </c>
      <c r="D72" s="8">
        <f t="shared" si="3"/>
        <v>5340</v>
      </c>
      <c r="E72" t="s">
        <v>48</v>
      </c>
      <c r="F72">
        <v>7.3</v>
      </c>
      <c r="G72" t="s">
        <v>292</v>
      </c>
      <c r="H72" s="11" t="s">
        <v>293</v>
      </c>
      <c r="I72" s="6">
        <v>7000000</v>
      </c>
      <c r="J72" s="9">
        <f t="shared" si="4"/>
        <v>78651.68539325842</v>
      </c>
      <c r="K72" s="9">
        <f t="shared" si="5"/>
        <v>1310.8614232209738</v>
      </c>
    </row>
    <row r="73" spans="1:11" x14ac:dyDescent="0.25">
      <c r="A73" t="s">
        <v>295</v>
      </c>
      <c r="B73">
        <v>1985</v>
      </c>
      <c r="C73" s="8">
        <v>91</v>
      </c>
      <c r="D73" s="8">
        <f t="shared" si="3"/>
        <v>5460</v>
      </c>
      <c r="E73" t="s">
        <v>296</v>
      </c>
      <c r="F73">
        <v>7.3</v>
      </c>
      <c r="G73" t="s">
        <v>297</v>
      </c>
      <c r="H73" s="11">
        <v>64592</v>
      </c>
      <c r="I73" s="6">
        <v>14240000</v>
      </c>
      <c r="J73" s="9">
        <f t="shared" si="4"/>
        <v>156483.51648351649</v>
      </c>
      <c r="K73" s="9">
        <f t="shared" si="5"/>
        <v>2608.0586080586081</v>
      </c>
    </row>
    <row r="74" spans="1:11" x14ac:dyDescent="0.25">
      <c r="A74" t="s">
        <v>299</v>
      </c>
      <c r="B74">
        <v>1992</v>
      </c>
      <c r="C74" s="8">
        <v>134</v>
      </c>
      <c r="D74" s="8">
        <f t="shared" si="3"/>
        <v>8040</v>
      </c>
      <c r="E74" t="s">
        <v>42</v>
      </c>
      <c r="F74">
        <v>7.3</v>
      </c>
      <c r="G74" t="s">
        <v>292</v>
      </c>
      <c r="H74" s="11" t="s">
        <v>300</v>
      </c>
      <c r="I74" s="6">
        <v>4160000</v>
      </c>
      <c r="J74" s="9">
        <f t="shared" si="4"/>
        <v>31044.776119402984</v>
      </c>
      <c r="K74" s="9">
        <f t="shared" si="5"/>
        <v>517.41293532338307</v>
      </c>
    </row>
    <row r="75" spans="1:11" x14ac:dyDescent="0.25">
      <c r="A75" t="s">
        <v>303</v>
      </c>
      <c r="B75">
        <v>1998</v>
      </c>
      <c r="C75" s="8">
        <v>84</v>
      </c>
      <c r="D75" s="8">
        <f t="shared" si="3"/>
        <v>5040</v>
      </c>
      <c r="E75" t="s">
        <v>42</v>
      </c>
      <c r="F75">
        <v>7.3</v>
      </c>
      <c r="G75" t="s">
        <v>304</v>
      </c>
      <c r="H75" s="11" t="s">
        <v>305</v>
      </c>
      <c r="I75" s="6">
        <v>3220000</v>
      </c>
      <c r="J75" s="9">
        <f t="shared" si="4"/>
        <v>38333.333333333336</v>
      </c>
      <c r="K75" s="9">
        <f t="shared" si="5"/>
        <v>638.88888888888891</v>
      </c>
    </row>
    <row r="76" spans="1:11" x14ac:dyDescent="0.25">
      <c r="A76" t="s">
        <v>309</v>
      </c>
      <c r="B76">
        <v>1996</v>
      </c>
      <c r="C76" s="8">
        <v>108</v>
      </c>
      <c r="D76" s="8">
        <f t="shared" si="3"/>
        <v>6480</v>
      </c>
      <c r="E76" t="s">
        <v>67</v>
      </c>
      <c r="F76">
        <v>7.2</v>
      </c>
      <c r="G76" t="s">
        <v>183</v>
      </c>
      <c r="H76" s="11" t="s">
        <v>310</v>
      </c>
      <c r="I76" s="6">
        <v>25750000</v>
      </c>
      <c r="J76" s="9">
        <f t="shared" si="4"/>
        <v>238425.92592592593</v>
      </c>
      <c r="K76" s="9">
        <f t="shared" si="5"/>
        <v>3973.7654320987654</v>
      </c>
    </row>
    <row r="77" spans="1:11" x14ac:dyDescent="0.25">
      <c r="A77" t="s">
        <v>312</v>
      </c>
      <c r="B77">
        <v>1987</v>
      </c>
      <c r="C77" s="8">
        <v>97</v>
      </c>
      <c r="D77" s="8">
        <f t="shared" si="3"/>
        <v>5820</v>
      </c>
      <c r="E77" t="s">
        <v>44</v>
      </c>
      <c r="F77">
        <v>7.2</v>
      </c>
      <c r="G77" t="s">
        <v>313</v>
      </c>
      <c r="H77" s="11" t="s">
        <v>314</v>
      </c>
      <c r="I77" s="6">
        <v>32220000</v>
      </c>
      <c r="J77" s="9">
        <f t="shared" si="4"/>
        <v>332164.94845360826</v>
      </c>
      <c r="K77" s="9">
        <f t="shared" si="5"/>
        <v>5536.0824742268042</v>
      </c>
    </row>
    <row r="78" spans="1:11" x14ac:dyDescent="0.25">
      <c r="A78" t="s">
        <v>316</v>
      </c>
      <c r="B78">
        <v>2020</v>
      </c>
      <c r="C78" s="8">
        <v>97</v>
      </c>
      <c r="D78" s="8">
        <f t="shared" si="3"/>
        <v>5820</v>
      </c>
      <c r="E78" t="s">
        <v>83</v>
      </c>
      <c r="F78">
        <v>7.2</v>
      </c>
      <c r="G78" t="s">
        <v>150</v>
      </c>
      <c r="H78" s="11" t="s">
        <v>317</v>
      </c>
      <c r="I78" s="6">
        <v>160070000</v>
      </c>
      <c r="J78" s="9">
        <f t="shared" si="4"/>
        <v>1650206.1855670102</v>
      </c>
      <c r="K78" s="9">
        <f t="shared" si="5"/>
        <v>27503.436426116838</v>
      </c>
    </row>
    <row r="79" spans="1:11" x14ac:dyDescent="0.25">
      <c r="A79" t="s">
        <v>319</v>
      </c>
      <c r="B79">
        <v>2005</v>
      </c>
      <c r="C79" s="8">
        <v>99</v>
      </c>
      <c r="D79" s="8">
        <f t="shared" si="3"/>
        <v>5940</v>
      </c>
      <c r="E79" t="s">
        <v>320</v>
      </c>
      <c r="F79">
        <v>7.2</v>
      </c>
      <c r="G79" t="s">
        <v>321</v>
      </c>
      <c r="H79" s="11" t="s">
        <v>322</v>
      </c>
      <c r="I79" s="6">
        <v>26020000</v>
      </c>
      <c r="J79" s="9">
        <f t="shared" si="4"/>
        <v>262828.28282828286</v>
      </c>
      <c r="K79" s="9">
        <f t="shared" si="5"/>
        <v>4380.4713804713801</v>
      </c>
    </row>
    <row r="80" spans="1:11" x14ac:dyDescent="0.25">
      <c r="A80" t="s">
        <v>324</v>
      </c>
      <c r="B80">
        <v>1988</v>
      </c>
      <c r="C80" s="8">
        <v>94</v>
      </c>
      <c r="D80" s="8">
        <f t="shared" si="3"/>
        <v>5640</v>
      </c>
      <c r="E80" t="s">
        <v>325</v>
      </c>
      <c r="F80">
        <v>7.2</v>
      </c>
      <c r="G80" t="s">
        <v>25</v>
      </c>
      <c r="H80" s="11" t="s">
        <v>326</v>
      </c>
      <c r="I80" s="6">
        <v>13010000</v>
      </c>
      <c r="J80" s="9">
        <f t="shared" si="4"/>
        <v>138404.25531914894</v>
      </c>
      <c r="K80" s="9">
        <f t="shared" si="5"/>
        <v>2306.7375886524824</v>
      </c>
    </row>
    <row r="81" spans="1:11" x14ac:dyDescent="0.25">
      <c r="A81" t="s">
        <v>328</v>
      </c>
      <c r="B81">
        <v>2007</v>
      </c>
      <c r="C81" s="8">
        <v>101</v>
      </c>
      <c r="D81" s="8">
        <f t="shared" si="3"/>
        <v>6060</v>
      </c>
      <c r="E81" t="s">
        <v>329</v>
      </c>
      <c r="F81">
        <v>7.2</v>
      </c>
      <c r="G81" t="s">
        <v>330</v>
      </c>
      <c r="H81" s="11" t="s">
        <v>331</v>
      </c>
      <c r="I81" s="6">
        <v>256390000</v>
      </c>
      <c r="J81" s="9">
        <f t="shared" si="4"/>
        <v>2538514.8514851485</v>
      </c>
      <c r="K81" s="9">
        <f t="shared" si="5"/>
        <v>42308.580858085807</v>
      </c>
    </row>
    <row r="82" spans="1:11" x14ac:dyDescent="0.25">
      <c r="A82" t="s">
        <v>333</v>
      </c>
      <c r="B82">
        <v>2016</v>
      </c>
      <c r="C82" s="8">
        <v>103</v>
      </c>
      <c r="D82" s="8">
        <f t="shared" si="3"/>
        <v>6180</v>
      </c>
      <c r="E82" t="s">
        <v>42</v>
      </c>
      <c r="F82">
        <v>7.2</v>
      </c>
      <c r="G82" t="s">
        <v>334</v>
      </c>
      <c r="H82" s="11" t="s">
        <v>335</v>
      </c>
      <c r="I82" s="6">
        <v>72080000</v>
      </c>
      <c r="J82" s="9">
        <f t="shared" si="4"/>
        <v>699805.82524271845</v>
      </c>
      <c r="K82" s="9">
        <f t="shared" si="5"/>
        <v>11663.430420711975</v>
      </c>
    </row>
    <row r="83" spans="1:11" x14ac:dyDescent="0.25">
      <c r="A83" t="s">
        <v>337</v>
      </c>
      <c r="B83">
        <v>1988</v>
      </c>
      <c r="C83" s="8">
        <v>116</v>
      </c>
      <c r="D83" s="8">
        <f t="shared" si="3"/>
        <v>6960</v>
      </c>
      <c r="E83" t="s">
        <v>39</v>
      </c>
      <c r="F83">
        <v>7.2</v>
      </c>
      <c r="G83" t="s">
        <v>112</v>
      </c>
      <c r="H83" s="11">
        <v>50992</v>
      </c>
      <c r="I83" s="6">
        <v>9130000</v>
      </c>
      <c r="J83" s="9">
        <f t="shared" si="4"/>
        <v>78706.896551724145</v>
      </c>
      <c r="K83" s="9">
        <f t="shared" si="5"/>
        <v>1311.7816091954023</v>
      </c>
    </row>
    <row r="84" spans="1:11" x14ac:dyDescent="0.25">
      <c r="A84" t="s">
        <v>339</v>
      </c>
      <c r="B84">
        <v>1987</v>
      </c>
      <c r="C84" s="8">
        <v>113</v>
      </c>
      <c r="D84" s="8">
        <f t="shared" si="3"/>
        <v>6780</v>
      </c>
      <c r="E84" t="s">
        <v>14</v>
      </c>
      <c r="F84">
        <v>7.2</v>
      </c>
      <c r="G84" t="s">
        <v>340</v>
      </c>
      <c r="H84" s="11">
        <v>91791</v>
      </c>
      <c r="I84" s="6">
        <v>17190000</v>
      </c>
      <c r="J84" s="9">
        <f t="shared" si="4"/>
        <v>152123.89380530972</v>
      </c>
      <c r="K84" s="9">
        <f t="shared" si="5"/>
        <v>2535.3982300884954</v>
      </c>
    </row>
    <row r="85" spans="1:11" x14ac:dyDescent="0.25">
      <c r="A85" t="s">
        <v>343</v>
      </c>
      <c r="B85">
        <v>1983</v>
      </c>
      <c r="C85" s="8">
        <v>87</v>
      </c>
      <c r="D85" s="8">
        <f t="shared" si="3"/>
        <v>5220</v>
      </c>
      <c r="E85" t="s">
        <v>344</v>
      </c>
      <c r="F85">
        <v>7.2</v>
      </c>
      <c r="G85" t="s">
        <v>112</v>
      </c>
      <c r="H85" s="11">
        <v>97693</v>
      </c>
      <c r="I85" s="6">
        <v>2120000</v>
      </c>
      <c r="J85" s="9">
        <f t="shared" si="4"/>
        <v>24367.816091954024</v>
      </c>
      <c r="K85" s="9">
        <f t="shared" si="5"/>
        <v>406.13026819923374</v>
      </c>
    </row>
    <row r="86" spans="1:11" x14ac:dyDescent="0.25">
      <c r="A86" t="s">
        <v>345</v>
      </c>
      <c r="B86">
        <v>1985</v>
      </c>
      <c r="C86" s="8">
        <v>84</v>
      </c>
      <c r="D86" s="8">
        <f t="shared" si="3"/>
        <v>5040</v>
      </c>
      <c r="E86" t="s">
        <v>296</v>
      </c>
      <c r="F86">
        <v>7.2</v>
      </c>
      <c r="G86" t="s">
        <v>346</v>
      </c>
      <c r="H86" s="11">
        <v>68040</v>
      </c>
      <c r="I86" s="6">
        <v>2020000</v>
      </c>
      <c r="J86" s="9">
        <f t="shared" si="4"/>
        <v>24047.619047619046</v>
      </c>
      <c r="K86" s="9">
        <f t="shared" si="5"/>
        <v>400.79365079365078</v>
      </c>
    </row>
    <row r="87" spans="1:11" x14ac:dyDescent="0.25">
      <c r="A87" t="s">
        <v>348</v>
      </c>
      <c r="B87">
        <v>2013</v>
      </c>
      <c r="C87" s="8">
        <v>123</v>
      </c>
      <c r="D87" s="8">
        <f t="shared" si="3"/>
        <v>7380</v>
      </c>
      <c r="E87" t="s">
        <v>349</v>
      </c>
      <c r="F87">
        <v>7.2</v>
      </c>
      <c r="G87" t="s">
        <v>350</v>
      </c>
      <c r="H87" s="11" t="s">
        <v>351</v>
      </c>
      <c r="I87" s="6">
        <v>1880000</v>
      </c>
      <c r="J87" s="9">
        <f t="shared" si="4"/>
        <v>15284.552845528455</v>
      </c>
      <c r="K87" s="9">
        <f t="shared" si="5"/>
        <v>254.74254742547424</v>
      </c>
    </row>
    <row r="88" spans="1:11" x14ac:dyDescent="0.25">
      <c r="A88" t="s">
        <v>355</v>
      </c>
      <c r="B88">
        <v>1983</v>
      </c>
      <c r="C88" s="8">
        <v>103</v>
      </c>
      <c r="D88" s="8">
        <f t="shared" si="3"/>
        <v>6180</v>
      </c>
      <c r="E88" t="s">
        <v>83</v>
      </c>
      <c r="F88">
        <v>7.2</v>
      </c>
      <c r="G88" t="s">
        <v>112</v>
      </c>
      <c r="H88" s="11">
        <v>73727</v>
      </c>
      <c r="I88" s="6">
        <v>20770000</v>
      </c>
      <c r="J88" s="9">
        <f t="shared" si="4"/>
        <v>201650.48543689321</v>
      </c>
      <c r="K88" s="9">
        <f t="shared" si="5"/>
        <v>3360.8414239482199</v>
      </c>
    </row>
    <row r="89" spans="1:11" x14ac:dyDescent="0.25">
      <c r="A89" t="s">
        <v>357</v>
      </c>
      <c r="B89">
        <v>2019</v>
      </c>
      <c r="C89" s="8">
        <v>148</v>
      </c>
      <c r="D89" s="8">
        <f t="shared" si="3"/>
        <v>8880</v>
      </c>
      <c r="E89" t="s">
        <v>42</v>
      </c>
      <c r="F89">
        <v>7.1</v>
      </c>
      <c r="G89" t="s">
        <v>246</v>
      </c>
      <c r="H89" s="11" t="s">
        <v>358</v>
      </c>
      <c r="I89" s="6">
        <v>27330000</v>
      </c>
      <c r="J89" s="9">
        <f t="shared" si="4"/>
        <v>184662.16216216216</v>
      </c>
      <c r="K89" s="9">
        <f t="shared" si="5"/>
        <v>3077.7027027027025</v>
      </c>
    </row>
    <row r="90" spans="1:11" x14ac:dyDescent="0.25">
      <c r="A90" t="s">
        <v>360</v>
      </c>
      <c r="B90">
        <v>2002</v>
      </c>
      <c r="C90" s="8">
        <v>115</v>
      </c>
      <c r="D90" s="8">
        <f t="shared" si="3"/>
        <v>6900</v>
      </c>
      <c r="E90" t="s">
        <v>178</v>
      </c>
      <c r="F90">
        <v>7.1</v>
      </c>
      <c r="G90" t="s">
        <v>361</v>
      </c>
      <c r="H90" s="11" t="s">
        <v>362</v>
      </c>
      <c r="I90" s="6">
        <v>129130000</v>
      </c>
      <c r="J90" s="9">
        <f t="shared" si="4"/>
        <v>1122869.5652173914</v>
      </c>
      <c r="K90" s="9">
        <f t="shared" si="5"/>
        <v>18714.492753623188</v>
      </c>
    </row>
    <row r="91" spans="1:11" x14ac:dyDescent="0.25">
      <c r="A91" t="s">
        <v>364</v>
      </c>
      <c r="B91">
        <v>2007</v>
      </c>
      <c r="C91" s="8">
        <v>126</v>
      </c>
      <c r="D91" s="8">
        <f t="shared" si="3"/>
        <v>7560</v>
      </c>
      <c r="E91" t="s">
        <v>344</v>
      </c>
      <c r="F91">
        <v>7.1</v>
      </c>
      <c r="G91" t="s">
        <v>365</v>
      </c>
      <c r="H91" s="11" t="s">
        <v>366</v>
      </c>
      <c r="I91" s="6">
        <v>25590000</v>
      </c>
      <c r="J91" s="9">
        <f t="shared" si="4"/>
        <v>203095.23809523811</v>
      </c>
      <c r="K91" s="9">
        <f t="shared" si="5"/>
        <v>3384.9206349206347</v>
      </c>
    </row>
    <row r="92" spans="1:11" x14ac:dyDescent="0.25">
      <c r="A92" t="s">
        <v>368</v>
      </c>
      <c r="B92">
        <v>2016</v>
      </c>
      <c r="C92" s="8">
        <v>88</v>
      </c>
      <c r="D92" s="8">
        <f t="shared" si="3"/>
        <v>5280</v>
      </c>
      <c r="E92" t="s">
        <v>369</v>
      </c>
      <c r="F92">
        <v>7.1</v>
      </c>
      <c r="G92" t="s">
        <v>370</v>
      </c>
      <c r="H92" s="11" t="s">
        <v>371</v>
      </c>
      <c r="I92" s="6">
        <v>89220000</v>
      </c>
      <c r="J92" s="9">
        <f t="shared" si="4"/>
        <v>1013863.6363636364</v>
      </c>
      <c r="K92" s="9">
        <f t="shared" si="5"/>
        <v>16897.727272727272</v>
      </c>
    </row>
    <row r="93" spans="1:11" x14ac:dyDescent="0.25">
      <c r="A93" t="s">
        <v>373</v>
      </c>
      <c r="B93">
        <v>1986</v>
      </c>
      <c r="C93" s="8">
        <v>94</v>
      </c>
      <c r="D93" s="8">
        <f t="shared" si="3"/>
        <v>5640</v>
      </c>
      <c r="E93" t="s">
        <v>209</v>
      </c>
      <c r="F93">
        <v>7.1</v>
      </c>
      <c r="G93" t="s">
        <v>374</v>
      </c>
      <c r="H93" s="11">
        <v>80770</v>
      </c>
      <c r="I93" s="6">
        <v>38750000</v>
      </c>
      <c r="J93" s="9">
        <f t="shared" si="4"/>
        <v>412234.04255319148</v>
      </c>
      <c r="K93" s="9">
        <f t="shared" si="5"/>
        <v>6870.567375886525</v>
      </c>
    </row>
    <row r="94" spans="1:11" x14ac:dyDescent="0.25">
      <c r="A94" t="s">
        <v>376</v>
      </c>
      <c r="B94">
        <v>1998</v>
      </c>
      <c r="C94" s="8">
        <v>120</v>
      </c>
      <c r="D94" s="8">
        <f t="shared" si="3"/>
        <v>7200</v>
      </c>
      <c r="E94" t="s">
        <v>325</v>
      </c>
      <c r="F94">
        <v>7.1</v>
      </c>
      <c r="G94" t="s">
        <v>377</v>
      </c>
      <c r="H94" s="11" t="s">
        <v>378</v>
      </c>
      <c r="I94" s="6">
        <v>70090000</v>
      </c>
      <c r="J94" s="9">
        <f t="shared" si="4"/>
        <v>584083.33333333337</v>
      </c>
      <c r="K94" s="9">
        <f t="shared" si="5"/>
        <v>9734.7222222222226</v>
      </c>
    </row>
    <row r="95" spans="1:11" x14ac:dyDescent="0.25">
      <c r="A95" t="s">
        <v>380</v>
      </c>
      <c r="B95">
        <v>2020</v>
      </c>
      <c r="C95" s="8">
        <v>124</v>
      </c>
      <c r="D95" s="8">
        <f t="shared" si="3"/>
        <v>7440</v>
      </c>
      <c r="E95" t="s">
        <v>42</v>
      </c>
      <c r="F95">
        <v>7.1</v>
      </c>
      <c r="G95" t="s">
        <v>381</v>
      </c>
      <c r="H95" s="11" t="s">
        <v>382</v>
      </c>
      <c r="I95" s="6">
        <v>70410000</v>
      </c>
      <c r="J95" s="9">
        <f t="shared" si="4"/>
        <v>567822.58064516133</v>
      </c>
      <c r="K95" s="9">
        <f t="shared" si="5"/>
        <v>9463.7096774193542</v>
      </c>
    </row>
    <row r="96" spans="1:11" x14ac:dyDescent="0.25">
      <c r="A96" t="s">
        <v>384</v>
      </c>
      <c r="B96">
        <v>1990</v>
      </c>
      <c r="C96" s="8">
        <v>96</v>
      </c>
      <c r="D96" s="8">
        <f t="shared" si="3"/>
        <v>5760</v>
      </c>
      <c r="E96" t="s">
        <v>44</v>
      </c>
      <c r="F96">
        <v>7.1</v>
      </c>
      <c r="G96" t="s">
        <v>385</v>
      </c>
      <c r="H96" s="11" t="s">
        <v>386</v>
      </c>
      <c r="I96" s="6">
        <v>16670000</v>
      </c>
      <c r="J96" s="9">
        <f t="shared" si="4"/>
        <v>173645.83333333334</v>
      </c>
      <c r="K96" s="9">
        <f t="shared" si="5"/>
        <v>2894.0972222222222</v>
      </c>
    </row>
    <row r="97" spans="1:11" x14ac:dyDescent="0.25">
      <c r="A97" t="s">
        <v>388</v>
      </c>
      <c r="B97">
        <v>1973</v>
      </c>
      <c r="C97" s="8">
        <v>110</v>
      </c>
      <c r="D97" s="8">
        <f t="shared" si="3"/>
        <v>6600</v>
      </c>
      <c r="E97" t="s">
        <v>42</v>
      </c>
      <c r="F97">
        <v>7.1</v>
      </c>
      <c r="G97" t="s">
        <v>389</v>
      </c>
      <c r="H97" s="11">
        <v>58877</v>
      </c>
      <c r="I97" s="6">
        <v>980000</v>
      </c>
      <c r="J97" s="9">
        <f t="shared" si="4"/>
        <v>8909.0909090909099</v>
      </c>
      <c r="K97" s="9">
        <f t="shared" si="5"/>
        <v>148.4848484848485</v>
      </c>
    </row>
    <row r="98" spans="1:11" x14ac:dyDescent="0.25">
      <c r="A98" t="s">
        <v>391</v>
      </c>
      <c r="B98">
        <v>2010</v>
      </c>
      <c r="C98" s="8">
        <v>116</v>
      </c>
      <c r="D98" s="8">
        <f t="shared" si="3"/>
        <v>6960</v>
      </c>
      <c r="E98" t="s">
        <v>28</v>
      </c>
      <c r="F98">
        <v>7.1</v>
      </c>
      <c r="G98" t="s">
        <v>392</v>
      </c>
      <c r="H98" s="11" t="s">
        <v>393</v>
      </c>
      <c r="I98" s="6">
        <v>12130000</v>
      </c>
      <c r="J98" s="9">
        <f t="shared" si="4"/>
        <v>104568.96551724138</v>
      </c>
      <c r="K98" s="9">
        <f t="shared" si="5"/>
        <v>1742.816091954023</v>
      </c>
    </row>
    <row r="99" spans="1:11" x14ac:dyDescent="0.25">
      <c r="A99" t="s">
        <v>395</v>
      </c>
      <c r="B99">
        <v>1997</v>
      </c>
      <c r="C99" s="8">
        <v>90</v>
      </c>
      <c r="D99" s="8">
        <f t="shared" si="3"/>
        <v>5400</v>
      </c>
      <c r="E99" t="s">
        <v>42</v>
      </c>
      <c r="F99">
        <v>7.1</v>
      </c>
      <c r="G99" t="s">
        <v>396</v>
      </c>
      <c r="H99" s="11" t="s">
        <v>397</v>
      </c>
      <c r="I99" s="6">
        <v>500000</v>
      </c>
      <c r="J99" s="9">
        <f t="shared" si="4"/>
        <v>5555.5555555555557</v>
      </c>
      <c r="K99" s="9">
        <f t="shared" si="5"/>
        <v>92.592592592592595</v>
      </c>
    </row>
    <row r="100" spans="1:11" x14ac:dyDescent="0.25">
      <c r="A100" t="s">
        <v>399</v>
      </c>
      <c r="B100">
        <v>1996</v>
      </c>
      <c r="C100" s="8">
        <v>110</v>
      </c>
      <c r="D100" s="8">
        <f t="shared" si="3"/>
        <v>6600</v>
      </c>
      <c r="E100" t="s">
        <v>187</v>
      </c>
      <c r="F100">
        <v>7.1</v>
      </c>
      <c r="G100" t="s">
        <v>188</v>
      </c>
      <c r="H100" s="11">
        <v>91980</v>
      </c>
      <c r="I100" s="6">
        <v>16760000</v>
      </c>
      <c r="J100" s="9">
        <f t="shared" si="4"/>
        <v>152363.63636363635</v>
      </c>
      <c r="K100" s="9">
        <f t="shared" si="5"/>
        <v>2539.3939393939395</v>
      </c>
    </row>
    <row r="101" spans="1:11" x14ac:dyDescent="0.25">
      <c r="A101" t="s">
        <v>401</v>
      </c>
      <c r="B101">
        <v>1994</v>
      </c>
      <c r="C101" s="8">
        <v>95</v>
      </c>
      <c r="D101" s="8">
        <f t="shared" si="3"/>
        <v>5700</v>
      </c>
      <c r="E101" t="s">
        <v>28</v>
      </c>
      <c r="F101">
        <v>7.1</v>
      </c>
      <c r="G101" t="s">
        <v>25</v>
      </c>
      <c r="H101" s="11">
        <v>74185</v>
      </c>
      <c r="I101" s="6">
        <v>8950000</v>
      </c>
      <c r="J101" s="9">
        <f t="shared" si="4"/>
        <v>94210.526315789481</v>
      </c>
      <c r="K101" s="9">
        <f t="shared" si="5"/>
        <v>1570.1754385964912</v>
      </c>
    </row>
    <row r="102" spans="1:11" x14ac:dyDescent="0.25">
      <c r="A102" t="s">
        <v>403</v>
      </c>
      <c r="B102">
        <v>2006</v>
      </c>
      <c r="C102" s="8">
        <v>120</v>
      </c>
      <c r="D102" s="8">
        <f t="shared" si="3"/>
        <v>7200</v>
      </c>
      <c r="E102" t="s">
        <v>83</v>
      </c>
      <c r="F102">
        <v>7.1</v>
      </c>
      <c r="G102" t="s">
        <v>404</v>
      </c>
      <c r="H102" s="11" t="s">
        <v>405</v>
      </c>
      <c r="I102" s="6">
        <v>2200000</v>
      </c>
      <c r="J102" s="9">
        <f t="shared" si="4"/>
        <v>18333.333333333332</v>
      </c>
      <c r="K102" s="9">
        <f t="shared" si="5"/>
        <v>305.55555555555554</v>
      </c>
    </row>
    <row r="103" spans="1:11" x14ac:dyDescent="0.25">
      <c r="A103" t="s">
        <v>407</v>
      </c>
      <c r="B103">
        <v>1985</v>
      </c>
      <c r="C103" s="8">
        <v>101</v>
      </c>
      <c r="D103" s="8">
        <f t="shared" si="3"/>
        <v>6060</v>
      </c>
      <c r="E103" t="s">
        <v>72</v>
      </c>
      <c r="F103">
        <v>7.1</v>
      </c>
      <c r="G103" t="s">
        <v>73</v>
      </c>
      <c r="H103" s="11">
        <v>71624</v>
      </c>
      <c r="I103" s="6">
        <v>5800000</v>
      </c>
      <c r="J103" s="9">
        <f t="shared" si="4"/>
        <v>57425.742574257427</v>
      </c>
      <c r="K103" s="9">
        <f t="shared" si="5"/>
        <v>957.09570957095707</v>
      </c>
    </row>
    <row r="104" spans="1:11" x14ac:dyDescent="0.25">
      <c r="A104" t="s">
        <v>409</v>
      </c>
      <c r="B104">
        <v>2007</v>
      </c>
      <c r="C104" s="8">
        <v>92</v>
      </c>
      <c r="D104" s="8">
        <f t="shared" si="3"/>
        <v>5520</v>
      </c>
      <c r="E104" t="s">
        <v>24</v>
      </c>
      <c r="F104">
        <v>7.1</v>
      </c>
      <c r="G104" t="s">
        <v>410</v>
      </c>
      <c r="H104" s="11">
        <v>66167</v>
      </c>
      <c r="I104" s="6">
        <v>40000</v>
      </c>
      <c r="J104" s="9">
        <f t="shared" si="4"/>
        <v>434.78260869565219</v>
      </c>
      <c r="K104" s="9">
        <f t="shared" si="5"/>
        <v>7.2463768115942031</v>
      </c>
    </row>
    <row r="105" spans="1:11" x14ac:dyDescent="0.25">
      <c r="A105" t="s">
        <v>412</v>
      </c>
      <c r="B105">
        <v>1974</v>
      </c>
      <c r="C105" s="8">
        <v>98</v>
      </c>
      <c r="D105" s="8">
        <f t="shared" si="3"/>
        <v>5880</v>
      </c>
      <c r="E105" t="s">
        <v>14</v>
      </c>
      <c r="F105">
        <v>7.1</v>
      </c>
      <c r="G105" t="s">
        <v>413</v>
      </c>
      <c r="H105" s="11">
        <v>44485</v>
      </c>
      <c r="I105" s="6">
        <v>4050000</v>
      </c>
      <c r="J105" s="9">
        <f t="shared" si="4"/>
        <v>41326.530612244896</v>
      </c>
      <c r="K105" s="9">
        <f t="shared" si="5"/>
        <v>688.77551020408168</v>
      </c>
    </row>
    <row r="106" spans="1:11" x14ac:dyDescent="0.25">
      <c r="A106" t="s">
        <v>414</v>
      </c>
      <c r="B106">
        <v>2009</v>
      </c>
      <c r="C106" s="8">
        <v>134</v>
      </c>
      <c r="D106" s="8">
        <f t="shared" si="3"/>
        <v>8040</v>
      </c>
      <c r="E106" t="s">
        <v>28</v>
      </c>
      <c r="F106">
        <v>7.1</v>
      </c>
      <c r="G106" t="s">
        <v>415</v>
      </c>
      <c r="H106" s="11">
        <v>49291</v>
      </c>
      <c r="I106" s="6">
        <v>300000</v>
      </c>
      <c r="J106" s="9">
        <f t="shared" si="4"/>
        <v>2238.8059701492539</v>
      </c>
      <c r="K106" s="9">
        <f t="shared" si="5"/>
        <v>37.313432835820898</v>
      </c>
    </row>
    <row r="107" spans="1:11" x14ac:dyDescent="0.25">
      <c r="A107" t="s">
        <v>418</v>
      </c>
      <c r="B107">
        <v>2009</v>
      </c>
      <c r="C107" s="8">
        <v>123</v>
      </c>
      <c r="D107" s="8">
        <f t="shared" si="3"/>
        <v>7380</v>
      </c>
      <c r="E107" t="s">
        <v>14</v>
      </c>
      <c r="F107">
        <v>7</v>
      </c>
      <c r="G107" t="s">
        <v>419</v>
      </c>
      <c r="H107" s="11" t="s">
        <v>420</v>
      </c>
      <c r="I107" s="6">
        <v>41600000</v>
      </c>
      <c r="J107" s="9">
        <f t="shared" si="4"/>
        <v>338211.38211382116</v>
      </c>
      <c r="K107" s="9">
        <f t="shared" si="5"/>
        <v>5636.8563685636855</v>
      </c>
    </row>
    <row r="108" spans="1:11" x14ac:dyDescent="0.25">
      <c r="A108" t="s">
        <v>422</v>
      </c>
      <c r="B108">
        <v>2008</v>
      </c>
      <c r="C108" s="8">
        <v>85</v>
      </c>
      <c r="D108" s="8">
        <f t="shared" si="3"/>
        <v>5100</v>
      </c>
      <c r="E108" t="s">
        <v>62</v>
      </c>
      <c r="F108">
        <v>7</v>
      </c>
      <c r="G108" t="s">
        <v>392</v>
      </c>
      <c r="H108" s="11" t="s">
        <v>423</v>
      </c>
      <c r="I108" s="6">
        <v>80050000</v>
      </c>
      <c r="J108" s="9">
        <f t="shared" si="4"/>
        <v>941764.70588235289</v>
      </c>
      <c r="K108" s="9">
        <f t="shared" si="5"/>
        <v>15696.078431372549</v>
      </c>
    </row>
    <row r="109" spans="1:11" x14ac:dyDescent="0.25">
      <c r="A109" t="s">
        <v>425</v>
      </c>
      <c r="B109">
        <v>2011</v>
      </c>
      <c r="C109" s="8">
        <v>95</v>
      </c>
      <c r="D109" s="8">
        <f t="shared" si="3"/>
        <v>5700</v>
      </c>
      <c r="E109" t="s">
        <v>14</v>
      </c>
      <c r="F109">
        <v>7</v>
      </c>
      <c r="G109" t="s">
        <v>426</v>
      </c>
      <c r="H109" s="11" t="s">
        <v>427</v>
      </c>
      <c r="I109" s="6">
        <v>42070000</v>
      </c>
      <c r="J109" s="9">
        <f t="shared" si="4"/>
        <v>442842.10526315792</v>
      </c>
      <c r="K109" s="9">
        <f t="shared" si="5"/>
        <v>7380.7017543859647</v>
      </c>
    </row>
    <row r="110" spans="1:11" x14ac:dyDescent="0.25">
      <c r="A110" t="s">
        <v>429</v>
      </c>
      <c r="B110">
        <v>2017</v>
      </c>
      <c r="C110" s="8">
        <v>121</v>
      </c>
      <c r="D110" s="8">
        <f t="shared" si="3"/>
        <v>7260</v>
      </c>
      <c r="E110" t="s">
        <v>42</v>
      </c>
      <c r="F110">
        <v>7</v>
      </c>
      <c r="G110" t="s">
        <v>430</v>
      </c>
      <c r="H110" s="11" t="s">
        <v>431</v>
      </c>
      <c r="I110" s="6">
        <v>2290000</v>
      </c>
      <c r="J110" s="9">
        <f t="shared" si="4"/>
        <v>18925.619834710742</v>
      </c>
      <c r="K110" s="9">
        <f t="shared" si="5"/>
        <v>315.42699724517905</v>
      </c>
    </row>
    <row r="111" spans="1:11" x14ac:dyDescent="0.25">
      <c r="A111" t="s">
        <v>433</v>
      </c>
      <c r="B111">
        <v>2013</v>
      </c>
      <c r="C111" s="8">
        <v>116</v>
      </c>
      <c r="D111" s="8">
        <f t="shared" si="3"/>
        <v>6960</v>
      </c>
      <c r="E111" t="s">
        <v>62</v>
      </c>
      <c r="F111">
        <v>7</v>
      </c>
      <c r="G111" t="s">
        <v>434</v>
      </c>
      <c r="H111" s="11" t="s">
        <v>435</v>
      </c>
      <c r="I111" s="6">
        <v>202360000</v>
      </c>
      <c r="J111" s="9">
        <f t="shared" si="4"/>
        <v>1744482.7586206896</v>
      </c>
      <c r="K111" s="9">
        <f t="shared" si="5"/>
        <v>29074.712643678162</v>
      </c>
    </row>
    <row r="112" spans="1:11" x14ac:dyDescent="0.25">
      <c r="A112" t="s">
        <v>437</v>
      </c>
      <c r="B112">
        <v>2005</v>
      </c>
      <c r="C112" s="8">
        <v>121</v>
      </c>
      <c r="D112" s="8">
        <f t="shared" si="3"/>
        <v>7260</v>
      </c>
      <c r="E112" t="s">
        <v>438</v>
      </c>
      <c r="F112">
        <v>7</v>
      </c>
      <c r="G112" t="s">
        <v>330</v>
      </c>
      <c r="H112" s="11" t="s">
        <v>439</v>
      </c>
      <c r="I112" s="6">
        <v>75980000</v>
      </c>
      <c r="J112" s="9">
        <f t="shared" si="4"/>
        <v>627933.88429752062</v>
      </c>
      <c r="K112" s="9">
        <f t="shared" si="5"/>
        <v>10465.564738292011</v>
      </c>
    </row>
    <row r="113" spans="1:11" x14ac:dyDescent="0.25">
      <c r="A113" t="s">
        <v>441</v>
      </c>
      <c r="B113">
        <v>2000</v>
      </c>
      <c r="C113" s="8">
        <v>109</v>
      </c>
      <c r="D113" s="8">
        <f t="shared" si="3"/>
        <v>6540</v>
      </c>
      <c r="E113" t="s">
        <v>325</v>
      </c>
      <c r="F113">
        <v>7</v>
      </c>
      <c r="G113" t="s">
        <v>442</v>
      </c>
      <c r="H113" s="11" t="s">
        <v>443</v>
      </c>
      <c r="I113" s="6">
        <v>39240000</v>
      </c>
      <c r="J113" s="9">
        <f t="shared" si="4"/>
        <v>360000</v>
      </c>
      <c r="K113" s="9">
        <f t="shared" si="5"/>
        <v>6000</v>
      </c>
    </row>
    <row r="114" spans="1:11" x14ac:dyDescent="0.25">
      <c r="A114" t="s">
        <v>445</v>
      </c>
      <c r="B114">
        <v>2012</v>
      </c>
      <c r="C114" s="8">
        <v>91</v>
      </c>
      <c r="D114" s="8">
        <f t="shared" si="3"/>
        <v>5460</v>
      </c>
      <c r="E114" t="s">
        <v>446</v>
      </c>
      <c r="F114">
        <v>7</v>
      </c>
      <c r="G114" t="s">
        <v>447</v>
      </c>
      <c r="H114" s="11" t="s">
        <v>448</v>
      </c>
      <c r="I114" s="6">
        <v>148310000</v>
      </c>
      <c r="J114" s="9">
        <f t="shared" si="4"/>
        <v>1629780.2197802197</v>
      </c>
      <c r="K114" s="9">
        <f t="shared" si="5"/>
        <v>27163.003663003663</v>
      </c>
    </row>
    <row r="115" spans="1:11" x14ac:dyDescent="0.25">
      <c r="A115" t="s">
        <v>450</v>
      </c>
      <c r="B115">
        <v>2008</v>
      </c>
      <c r="C115" s="8">
        <v>120</v>
      </c>
      <c r="D115" s="8">
        <f t="shared" si="3"/>
        <v>7200</v>
      </c>
      <c r="E115" t="s">
        <v>451</v>
      </c>
      <c r="F115">
        <v>7</v>
      </c>
      <c r="G115" t="s">
        <v>236</v>
      </c>
      <c r="H115" s="11" t="s">
        <v>452</v>
      </c>
      <c r="I115" s="6">
        <v>75750000</v>
      </c>
      <c r="J115" s="9">
        <f t="shared" si="4"/>
        <v>631250</v>
      </c>
      <c r="K115" s="9">
        <f t="shared" si="5"/>
        <v>10520.833333333334</v>
      </c>
    </row>
    <row r="116" spans="1:11" x14ac:dyDescent="0.25">
      <c r="A116" t="s">
        <v>454</v>
      </c>
      <c r="B116">
        <v>2015</v>
      </c>
      <c r="C116" s="8">
        <v>95</v>
      </c>
      <c r="D116" s="8">
        <f t="shared" si="3"/>
        <v>5700</v>
      </c>
      <c r="E116" t="s">
        <v>35</v>
      </c>
      <c r="F116">
        <v>7</v>
      </c>
      <c r="G116" t="s">
        <v>455</v>
      </c>
      <c r="H116" s="11" t="s">
        <v>456</v>
      </c>
      <c r="I116" s="6">
        <v>3220000</v>
      </c>
      <c r="J116" s="9">
        <f t="shared" si="4"/>
        <v>33894.73684210526</v>
      </c>
      <c r="K116" s="9">
        <f t="shared" si="5"/>
        <v>564.91228070175441</v>
      </c>
    </row>
    <row r="117" spans="1:11" x14ac:dyDescent="0.25">
      <c r="A117" t="s">
        <v>457</v>
      </c>
      <c r="B117">
        <v>1985</v>
      </c>
      <c r="C117" s="8">
        <v>106</v>
      </c>
      <c r="D117" s="8">
        <f t="shared" si="3"/>
        <v>6360</v>
      </c>
      <c r="E117" t="s">
        <v>48</v>
      </c>
      <c r="F117">
        <v>7</v>
      </c>
      <c r="G117" t="s">
        <v>458</v>
      </c>
      <c r="H117" s="11">
        <v>74547</v>
      </c>
      <c r="I117" s="6">
        <v>24920000</v>
      </c>
      <c r="J117" s="9">
        <f t="shared" si="4"/>
        <v>235094.33962264151</v>
      </c>
      <c r="K117" s="9">
        <f t="shared" si="5"/>
        <v>3918.2389937106918</v>
      </c>
    </row>
    <row r="118" spans="1:11" x14ac:dyDescent="0.25">
      <c r="A118" t="s">
        <v>460</v>
      </c>
      <c r="B118">
        <v>2016</v>
      </c>
      <c r="C118" s="8">
        <v>99</v>
      </c>
      <c r="D118" s="8">
        <f t="shared" si="3"/>
        <v>5940</v>
      </c>
      <c r="E118" t="s">
        <v>19</v>
      </c>
      <c r="F118">
        <v>7</v>
      </c>
      <c r="G118" t="s">
        <v>461</v>
      </c>
      <c r="H118" s="11">
        <v>83304</v>
      </c>
      <c r="I118" s="6">
        <v>510000</v>
      </c>
      <c r="J118" s="9">
        <f t="shared" si="4"/>
        <v>5151.515151515152</v>
      </c>
      <c r="K118" s="9">
        <f t="shared" si="5"/>
        <v>85.858585858585855</v>
      </c>
    </row>
    <row r="119" spans="1:11" x14ac:dyDescent="0.25">
      <c r="A119" t="s">
        <v>463</v>
      </c>
      <c r="B119">
        <v>2001</v>
      </c>
      <c r="C119" s="8">
        <v>142</v>
      </c>
      <c r="D119" s="8">
        <f t="shared" si="3"/>
        <v>8520</v>
      </c>
      <c r="E119" t="s">
        <v>307</v>
      </c>
      <c r="F119">
        <v>7</v>
      </c>
      <c r="G119" t="s">
        <v>464</v>
      </c>
      <c r="H119" s="11">
        <v>68793</v>
      </c>
      <c r="I119" s="6">
        <v>11260000</v>
      </c>
      <c r="J119" s="9">
        <f t="shared" si="4"/>
        <v>79295.774647887331</v>
      </c>
      <c r="K119" s="9">
        <f t="shared" si="5"/>
        <v>1321.5962441314555</v>
      </c>
    </row>
    <row r="120" spans="1:11" x14ac:dyDescent="0.25">
      <c r="A120" t="s">
        <v>466</v>
      </c>
      <c r="B120">
        <v>2017</v>
      </c>
      <c r="C120" s="8">
        <v>116</v>
      </c>
      <c r="D120" s="8">
        <f t="shared" si="3"/>
        <v>6960</v>
      </c>
      <c r="E120" t="s">
        <v>28</v>
      </c>
      <c r="F120">
        <v>7</v>
      </c>
      <c r="G120" t="s">
        <v>467</v>
      </c>
      <c r="H120" s="11">
        <v>34644</v>
      </c>
      <c r="I120" s="6">
        <v>150000</v>
      </c>
      <c r="J120" s="9">
        <f t="shared" si="4"/>
        <v>1293.1034482758621</v>
      </c>
      <c r="K120" s="9">
        <f t="shared" si="5"/>
        <v>21.551724137931036</v>
      </c>
    </row>
    <row r="121" spans="1:11" x14ac:dyDescent="0.25">
      <c r="A121" t="s">
        <v>468</v>
      </c>
      <c r="B121">
        <v>1986</v>
      </c>
      <c r="C121" s="8">
        <v>83</v>
      </c>
      <c r="D121" s="8">
        <f t="shared" si="3"/>
        <v>4980</v>
      </c>
      <c r="E121" t="s">
        <v>342</v>
      </c>
      <c r="F121">
        <v>7</v>
      </c>
      <c r="G121" t="s">
        <v>469</v>
      </c>
      <c r="H121" s="11">
        <v>38529</v>
      </c>
      <c r="I121" s="6">
        <v>610000</v>
      </c>
      <c r="J121" s="9">
        <f t="shared" si="4"/>
        <v>7349.3975903614455</v>
      </c>
      <c r="K121" s="9">
        <f t="shared" si="5"/>
        <v>122.48995983935743</v>
      </c>
    </row>
    <row r="122" spans="1:11" x14ac:dyDescent="0.25">
      <c r="A122" t="s">
        <v>472</v>
      </c>
      <c r="B122">
        <v>2022</v>
      </c>
      <c r="C122" s="8">
        <v>126</v>
      </c>
      <c r="D122" s="8">
        <f t="shared" si="3"/>
        <v>7560</v>
      </c>
      <c r="E122" t="s">
        <v>451</v>
      </c>
      <c r="F122">
        <v>6.9</v>
      </c>
      <c r="G122" t="s">
        <v>91</v>
      </c>
      <c r="H122" s="11" t="s">
        <v>473</v>
      </c>
      <c r="I122" s="6">
        <v>411330000</v>
      </c>
      <c r="J122" s="9">
        <f t="shared" si="4"/>
        <v>3264523.8095238097</v>
      </c>
      <c r="K122" s="9">
        <f t="shared" si="5"/>
        <v>54408.730158730155</v>
      </c>
    </row>
    <row r="123" spans="1:11" x14ac:dyDescent="0.25">
      <c r="A123" t="s">
        <v>475</v>
      </c>
      <c r="B123">
        <v>2021</v>
      </c>
      <c r="C123" s="8">
        <v>103</v>
      </c>
      <c r="D123" s="8">
        <f t="shared" si="3"/>
        <v>6180</v>
      </c>
      <c r="E123" t="s">
        <v>72</v>
      </c>
      <c r="F123">
        <v>6.9</v>
      </c>
      <c r="G123" t="s">
        <v>476</v>
      </c>
      <c r="H123" s="11" t="s">
        <v>477</v>
      </c>
      <c r="I123" s="6">
        <v>90120000</v>
      </c>
      <c r="J123" s="9">
        <f t="shared" si="4"/>
        <v>874951.45631067955</v>
      </c>
      <c r="K123" s="9">
        <f t="shared" si="5"/>
        <v>14582.524271844661</v>
      </c>
    </row>
    <row r="124" spans="1:11" x14ac:dyDescent="0.25">
      <c r="A124" t="s">
        <v>479</v>
      </c>
      <c r="B124">
        <v>2015</v>
      </c>
      <c r="C124" s="8">
        <v>92</v>
      </c>
      <c r="D124" s="8">
        <f t="shared" si="3"/>
        <v>5520</v>
      </c>
      <c r="E124" t="s">
        <v>28</v>
      </c>
      <c r="F124">
        <v>6.9</v>
      </c>
      <c r="G124" t="s">
        <v>480</v>
      </c>
      <c r="H124" s="11" t="s">
        <v>481</v>
      </c>
      <c r="I124" s="6">
        <v>25140000</v>
      </c>
      <c r="J124" s="9">
        <f t="shared" si="4"/>
        <v>273260.86956521741</v>
      </c>
      <c r="K124" s="9">
        <f t="shared" si="5"/>
        <v>4554.347826086957</v>
      </c>
    </row>
    <row r="125" spans="1:11" x14ac:dyDescent="0.25">
      <c r="A125" t="s">
        <v>483</v>
      </c>
      <c r="B125">
        <v>2018</v>
      </c>
      <c r="C125" s="8">
        <v>97</v>
      </c>
      <c r="D125" s="8">
        <f t="shared" si="3"/>
        <v>5820</v>
      </c>
      <c r="E125" t="s">
        <v>484</v>
      </c>
      <c r="F125">
        <v>6.9</v>
      </c>
      <c r="G125" t="s">
        <v>485</v>
      </c>
      <c r="H125" s="11">
        <v>73695</v>
      </c>
      <c r="I125" s="6">
        <v>800000</v>
      </c>
      <c r="J125" s="9">
        <f t="shared" si="4"/>
        <v>8247.4226804123718</v>
      </c>
      <c r="K125" s="9">
        <f t="shared" si="5"/>
        <v>137.45704467353951</v>
      </c>
    </row>
    <row r="126" spans="1:11" x14ac:dyDescent="0.25">
      <c r="A126" t="s">
        <v>487</v>
      </c>
      <c r="B126">
        <v>2007</v>
      </c>
      <c r="C126" s="8">
        <v>100</v>
      </c>
      <c r="D126" s="8">
        <f t="shared" si="3"/>
        <v>6000</v>
      </c>
      <c r="E126" t="s">
        <v>62</v>
      </c>
      <c r="F126">
        <v>6.9</v>
      </c>
      <c r="G126" t="s">
        <v>488</v>
      </c>
      <c r="H126" s="11" t="s">
        <v>489</v>
      </c>
      <c r="I126" s="6">
        <v>28640000</v>
      </c>
      <c r="J126" s="9">
        <f t="shared" si="4"/>
        <v>286400</v>
      </c>
      <c r="K126" s="9">
        <f t="shared" si="5"/>
        <v>4773.333333333333</v>
      </c>
    </row>
    <row r="127" spans="1:11" x14ac:dyDescent="0.25">
      <c r="A127" t="s">
        <v>491</v>
      </c>
      <c r="B127">
        <v>1993</v>
      </c>
      <c r="C127" s="8">
        <v>96</v>
      </c>
      <c r="D127" s="8">
        <f t="shared" si="3"/>
        <v>5760</v>
      </c>
      <c r="E127" t="s">
        <v>492</v>
      </c>
      <c r="F127">
        <v>6.9</v>
      </c>
      <c r="G127" t="s">
        <v>493</v>
      </c>
      <c r="H127" s="11" t="s">
        <v>494</v>
      </c>
      <c r="I127" s="6">
        <v>44340000</v>
      </c>
      <c r="J127" s="9">
        <f t="shared" si="4"/>
        <v>461875</v>
      </c>
      <c r="K127" s="9">
        <f t="shared" si="5"/>
        <v>7697.916666666667</v>
      </c>
    </row>
    <row r="128" spans="1:11" x14ac:dyDescent="0.25">
      <c r="A128" t="s">
        <v>496</v>
      </c>
      <c r="B128">
        <v>1987</v>
      </c>
      <c r="C128" s="8">
        <v>94</v>
      </c>
      <c r="D128" s="8">
        <f t="shared" si="3"/>
        <v>5640</v>
      </c>
      <c r="E128" t="s">
        <v>72</v>
      </c>
      <c r="F128">
        <v>6.9</v>
      </c>
      <c r="G128" t="s">
        <v>497</v>
      </c>
      <c r="H128" s="11" t="s">
        <v>498</v>
      </c>
      <c r="I128" s="6">
        <v>14560000</v>
      </c>
      <c r="J128" s="9">
        <f t="shared" si="4"/>
        <v>154893.61702127659</v>
      </c>
      <c r="K128" s="9">
        <f t="shared" si="5"/>
        <v>2581.5602836879434</v>
      </c>
    </row>
    <row r="129" spans="1:11" x14ac:dyDescent="0.25">
      <c r="A129" t="s">
        <v>500</v>
      </c>
      <c r="B129">
        <v>1987</v>
      </c>
      <c r="C129" s="8">
        <v>94</v>
      </c>
      <c r="D129" s="8">
        <f t="shared" si="3"/>
        <v>5640</v>
      </c>
      <c r="E129" t="s">
        <v>30</v>
      </c>
      <c r="F129">
        <v>6.9</v>
      </c>
      <c r="G129" t="s">
        <v>501</v>
      </c>
      <c r="H129" s="11">
        <v>42670</v>
      </c>
      <c r="I129" s="6">
        <v>3370000</v>
      </c>
      <c r="J129" s="9">
        <f t="shared" si="4"/>
        <v>35851.063829787236</v>
      </c>
      <c r="K129" s="9">
        <f t="shared" si="5"/>
        <v>597.51773049645385</v>
      </c>
    </row>
    <row r="130" spans="1:11" x14ac:dyDescent="0.25">
      <c r="A130" t="s">
        <v>503</v>
      </c>
      <c r="B130">
        <v>1999</v>
      </c>
      <c r="C130" s="8">
        <v>101</v>
      </c>
      <c r="D130" s="8">
        <f t="shared" si="3"/>
        <v>6060</v>
      </c>
      <c r="E130" t="s">
        <v>504</v>
      </c>
      <c r="F130">
        <v>6.9</v>
      </c>
      <c r="G130" t="s">
        <v>505</v>
      </c>
      <c r="H130" s="11">
        <v>41616</v>
      </c>
      <c r="I130" s="6">
        <v>2060000</v>
      </c>
      <c r="J130" s="9">
        <f t="shared" si="4"/>
        <v>20396.039603960395</v>
      </c>
      <c r="K130" s="9">
        <f t="shared" si="5"/>
        <v>339.93399339933995</v>
      </c>
    </row>
    <row r="131" spans="1:11" x14ac:dyDescent="0.25">
      <c r="A131" t="s">
        <v>507</v>
      </c>
      <c r="B131">
        <v>1980</v>
      </c>
      <c r="C131" s="8">
        <v>102</v>
      </c>
      <c r="D131" s="8">
        <f t="shared" ref="D131:D194" si="6">C131*60</f>
        <v>6120</v>
      </c>
      <c r="E131" t="s">
        <v>344</v>
      </c>
      <c r="F131">
        <v>6.9</v>
      </c>
      <c r="G131" t="s">
        <v>508</v>
      </c>
      <c r="H131" s="11">
        <v>36892</v>
      </c>
      <c r="I131" s="6">
        <v>19850000</v>
      </c>
      <c r="J131" s="9">
        <f t="shared" ref="J131:J194" si="7">I131/C131</f>
        <v>194607.84313725491</v>
      </c>
      <c r="K131" s="9">
        <f t="shared" ref="K131:K194" si="8">I131/D131</f>
        <v>3243.4640522875816</v>
      </c>
    </row>
    <row r="132" spans="1:11" x14ac:dyDescent="0.25">
      <c r="A132" t="s">
        <v>510</v>
      </c>
      <c r="B132">
        <v>1999</v>
      </c>
      <c r="C132" s="8">
        <v>99</v>
      </c>
      <c r="D132" s="8">
        <f t="shared" si="6"/>
        <v>5940</v>
      </c>
      <c r="E132" t="s">
        <v>14</v>
      </c>
      <c r="F132">
        <v>6.9</v>
      </c>
      <c r="G132" t="s">
        <v>511</v>
      </c>
      <c r="H132" s="11">
        <v>84251</v>
      </c>
      <c r="I132" s="6">
        <v>21130000</v>
      </c>
      <c r="J132" s="9">
        <f t="shared" si="7"/>
        <v>213434.34343434343</v>
      </c>
      <c r="K132" s="9">
        <f t="shared" si="8"/>
        <v>3557.2390572390573</v>
      </c>
    </row>
    <row r="133" spans="1:11" x14ac:dyDescent="0.25">
      <c r="A133" t="s">
        <v>513</v>
      </c>
      <c r="B133">
        <v>2002</v>
      </c>
      <c r="C133" s="8">
        <v>92</v>
      </c>
      <c r="D133" s="8">
        <f t="shared" si="6"/>
        <v>5520</v>
      </c>
      <c r="E133" t="s">
        <v>187</v>
      </c>
      <c r="F133">
        <v>6.9</v>
      </c>
      <c r="G133" t="s">
        <v>514</v>
      </c>
      <c r="H133" s="11">
        <v>50182</v>
      </c>
      <c r="I133" s="6">
        <v>2000000</v>
      </c>
      <c r="J133" s="9">
        <f t="shared" si="7"/>
        <v>21739.130434782608</v>
      </c>
      <c r="K133" s="9">
        <f t="shared" si="8"/>
        <v>362.31884057971013</v>
      </c>
    </row>
    <row r="134" spans="1:11" x14ac:dyDescent="0.25">
      <c r="A134" t="s">
        <v>518</v>
      </c>
      <c r="B134">
        <v>1987</v>
      </c>
      <c r="C134" s="8">
        <v>79</v>
      </c>
      <c r="D134" s="8">
        <f t="shared" si="6"/>
        <v>4740</v>
      </c>
      <c r="E134" t="s">
        <v>519</v>
      </c>
      <c r="F134">
        <v>6.9</v>
      </c>
      <c r="G134" t="s">
        <v>520</v>
      </c>
      <c r="H134" s="11">
        <v>33711</v>
      </c>
      <c r="I134" s="6">
        <v>3770000</v>
      </c>
      <c r="J134" s="9">
        <f t="shared" si="7"/>
        <v>47721.518987341769</v>
      </c>
      <c r="K134" s="9">
        <f t="shared" si="8"/>
        <v>795.35864978902953</v>
      </c>
    </row>
    <row r="135" spans="1:11" x14ac:dyDescent="0.25">
      <c r="A135" t="s">
        <v>522</v>
      </c>
      <c r="B135">
        <v>1954</v>
      </c>
      <c r="C135" s="8">
        <v>79</v>
      </c>
      <c r="D135" s="8">
        <f t="shared" si="6"/>
        <v>4740</v>
      </c>
      <c r="E135" t="s">
        <v>9</v>
      </c>
      <c r="F135">
        <v>6.9</v>
      </c>
      <c r="G135" t="s">
        <v>523</v>
      </c>
      <c r="H135" s="11">
        <v>32344</v>
      </c>
      <c r="I135" s="6">
        <v>1300000</v>
      </c>
      <c r="J135" s="9">
        <f t="shared" si="7"/>
        <v>16455.696202531646</v>
      </c>
      <c r="K135" s="9">
        <f t="shared" si="8"/>
        <v>274.26160337552744</v>
      </c>
    </row>
    <row r="136" spans="1:11" x14ac:dyDescent="0.25">
      <c r="A136" t="s">
        <v>525</v>
      </c>
      <c r="B136">
        <v>2010</v>
      </c>
      <c r="C136" s="8">
        <v>103</v>
      </c>
      <c r="D136" s="8">
        <f t="shared" si="6"/>
        <v>6180</v>
      </c>
      <c r="E136" t="s">
        <v>28</v>
      </c>
      <c r="F136">
        <v>6.9</v>
      </c>
      <c r="G136" t="s">
        <v>526</v>
      </c>
      <c r="H136" s="11">
        <v>77389</v>
      </c>
      <c r="I136" s="6">
        <v>250000</v>
      </c>
      <c r="J136" s="9">
        <f t="shared" si="7"/>
        <v>2427.1844660194174</v>
      </c>
      <c r="K136" s="9">
        <f t="shared" si="8"/>
        <v>40.453074433656958</v>
      </c>
    </row>
    <row r="137" spans="1:11" x14ac:dyDescent="0.25">
      <c r="A137" t="s">
        <v>528</v>
      </c>
      <c r="B137">
        <v>2000</v>
      </c>
      <c r="C137" s="8">
        <v>92</v>
      </c>
      <c r="D137" s="8">
        <f t="shared" si="6"/>
        <v>5520</v>
      </c>
      <c r="E137" t="s">
        <v>19</v>
      </c>
      <c r="F137">
        <v>6.9</v>
      </c>
      <c r="G137" t="s">
        <v>529</v>
      </c>
      <c r="H137" s="11">
        <v>43072</v>
      </c>
      <c r="I137" s="6">
        <v>8290000</v>
      </c>
      <c r="J137" s="9">
        <f t="shared" si="7"/>
        <v>90108.695652173919</v>
      </c>
      <c r="K137" s="9">
        <f t="shared" si="8"/>
        <v>1501.8115942028985</v>
      </c>
    </row>
    <row r="138" spans="1:11" x14ac:dyDescent="0.25">
      <c r="A138" t="s">
        <v>531</v>
      </c>
      <c r="B138">
        <v>2012</v>
      </c>
      <c r="C138" s="8">
        <v>87</v>
      </c>
      <c r="D138" s="8">
        <f t="shared" si="6"/>
        <v>5220</v>
      </c>
      <c r="E138" t="s">
        <v>532</v>
      </c>
      <c r="F138">
        <v>6.9</v>
      </c>
      <c r="G138" t="s">
        <v>273</v>
      </c>
      <c r="H138" s="11" t="s">
        <v>533</v>
      </c>
      <c r="I138" s="6">
        <v>35290000</v>
      </c>
      <c r="J138" s="9">
        <f t="shared" si="7"/>
        <v>405632.18390804599</v>
      </c>
      <c r="K138" s="9">
        <f t="shared" si="8"/>
        <v>6760.5363984674332</v>
      </c>
    </row>
    <row r="139" spans="1:11" x14ac:dyDescent="0.25">
      <c r="A139" t="s">
        <v>535</v>
      </c>
      <c r="B139">
        <v>2022</v>
      </c>
      <c r="C139" s="8">
        <v>130</v>
      </c>
      <c r="D139" s="8">
        <f t="shared" si="6"/>
        <v>7800</v>
      </c>
      <c r="E139" t="s">
        <v>24</v>
      </c>
      <c r="F139">
        <v>6.8</v>
      </c>
      <c r="G139" t="s">
        <v>58</v>
      </c>
      <c r="H139" s="11" t="s">
        <v>536</v>
      </c>
      <c r="I139" s="6">
        <v>123280000</v>
      </c>
      <c r="J139" s="9">
        <f t="shared" si="7"/>
        <v>948307.69230769225</v>
      </c>
      <c r="K139" s="9">
        <f t="shared" si="8"/>
        <v>15805.128205128205</v>
      </c>
    </row>
    <row r="140" spans="1:11" x14ac:dyDescent="0.25">
      <c r="A140" t="s">
        <v>539</v>
      </c>
      <c r="B140">
        <v>2019</v>
      </c>
      <c r="C140" s="8">
        <v>95</v>
      </c>
      <c r="D140" s="8">
        <f t="shared" si="6"/>
        <v>5700</v>
      </c>
      <c r="E140" t="s">
        <v>116</v>
      </c>
      <c r="F140">
        <v>6.8</v>
      </c>
      <c r="G140" t="s">
        <v>540</v>
      </c>
      <c r="H140" s="11" t="s">
        <v>541</v>
      </c>
      <c r="I140" s="6">
        <v>28710000</v>
      </c>
      <c r="J140" s="9">
        <f t="shared" si="7"/>
        <v>302210.5263157895</v>
      </c>
      <c r="K140" s="9">
        <f t="shared" si="8"/>
        <v>5036.8421052631575</v>
      </c>
    </row>
    <row r="141" spans="1:11" x14ac:dyDescent="0.25">
      <c r="A141" t="s">
        <v>543</v>
      </c>
      <c r="B141">
        <v>2010</v>
      </c>
      <c r="C141" s="8">
        <v>103</v>
      </c>
      <c r="D141" s="8">
        <f t="shared" si="6"/>
        <v>6180</v>
      </c>
      <c r="E141" t="s">
        <v>14</v>
      </c>
      <c r="F141">
        <v>6.8</v>
      </c>
      <c r="G141" t="s">
        <v>103</v>
      </c>
      <c r="H141" s="11" t="s">
        <v>544</v>
      </c>
      <c r="I141" s="6">
        <v>54010000</v>
      </c>
      <c r="J141" s="9">
        <f t="shared" si="7"/>
        <v>524368.9320388349</v>
      </c>
      <c r="K141" s="9">
        <f t="shared" si="8"/>
        <v>8739.4822006472496</v>
      </c>
    </row>
    <row r="142" spans="1:11" x14ac:dyDescent="0.25">
      <c r="A142" t="s">
        <v>546</v>
      </c>
      <c r="B142">
        <v>2014</v>
      </c>
      <c r="C142" s="8">
        <v>100</v>
      </c>
      <c r="D142" s="8">
        <f t="shared" si="6"/>
        <v>6000</v>
      </c>
      <c r="E142" t="s">
        <v>14</v>
      </c>
      <c r="F142">
        <v>6.8</v>
      </c>
      <c r="G142" t="s">
        <v>547</v>
      </c>
      <c r="H142" s="11" t="s">
        <v>548</v>
      </c>
      <c r="I142" s="6">
        <v>14670000</v>
      </c>
      <c r="J142" s="9">
        <f t="shared" si="7"/>
        <v>146700</v>
      </c>
      <c r="K142" s="9">
        <f t="shared" si="8"/>
        <v>2445</v>
      </c>
    </row>
    <row r="143" spans="1:11" x14ac:dyDescent="0.25">
      <c r="A143" t="s">
        <v>550</v>
      </c>
      <c r="B143">
        <v>2018</v>
      </c>
      <c r="C143" s="8">
        <v>115</v>
      </c>
      <c r="D143" s="8">
        <f t="shared" si="6"/>
        <v>6900</v>
      </c>
      <c r="E143" t="s">
        <v>504</v>
      </c>
      <c r="F143">
        <v>6.8</v>
      </c>
      <c r="G143" t="s">
        <v>551</v>
      </c>
      <c r="H143" s="11" t="s">
        <v>552</v>
      </c>
      <c r="I143" s="6">
        <v>32730000</v>
      </c>
      <c r="J143" s="9">
        <f t="shared" si="7"/>
        <v>284608.69565217389</v>
      </c>
      <c r="K143" s="9">
        <f t="shared" si="8"/>
        <v>4743.478260869565</v>
      </c>
    </row>
    <row r="144" spans="1:11" x14ac:dyDescent="0.25">
      <c r="A144" t="s">
        <v>554</v>
      </c>
      <c r="B144">
        <v>2012</v>
      </c>
      <c r="C144" s="8">
        <v>110</v>
      </c>
      <c r="D144" s="8">
        <f t="shared" si="6"/>
        <v>6600</v>
      </c>
      <c r="E144" t="s">
        <v>14</v>
      </c>
      <c r="F144">
        <v>6.8</v>
      </c>
      <c r="G144" t="s">
        <v>476</v>
      </c>
      <c r="H144" s="11" t="s">
        <v>555</v>
      </c>
      <c r="I144" s="6">
        <v>48090000</v>
      </c>
      <c r="J144" s="9">
        <f t="shared" si="7"/>
        <v>437181.81818181818</v>
      </c>
      <c r="K144" s="9">
        <f t="shared" si="8"/>
        <v>7286.363636363636</v>
      </c>
    </row>
    <row r="145" spans="1:11" x14ac:dyDescent="0.25">
      <c r="A145" t="s">
        <v>557</v>
      </c>
      <c r="B145">
        <v>2019</v>
      </c>
      <c r="C145" s="8">
        <v>116</v>
      </c>
      <c r="D145" s="8">
        <f t="shared" si="6"/>
        <v>6960</v>
      </c>
      <c r="E145" t="s">
        <v>14</v>
      </c>
      <c r="F145">
        <v>6.8</v>
      </c>
      <c r="G145" t="s">
        <v>58</v>
      </c>
      <c r="H145" s="11" t="s">
        <v>558</v>
      </c>
      <c r="I145" s="6">
        <v>175080000</v>
      </c>
      <c r="J145" s="9">
        <f t="shared" si="7"/>
        <v>1509310.3448275863</v>
      </c>
      <c r="K145" s="9">
        <f t="shared" si="8"/>
        <v>25155.172413793105</v>
      </c>
    </row>
    <row r="146" spans="1:11" x14ac:dyDescent="0.25">
      <c r="A146" t="s">
        <v>560</v>
      </c>
      <c r="B146">
        <v>2018</v>
      </c>
      <c r="C146" s="8">
        <v>152</v>
      </c>
      <c r="D146" s="8">
        <f t="shared" si="6"/>
        <v>9120</v>
      </c>
      <c r="E146" t="s">
        <v>35</v>
      </c>
      <c r="F146">
        <v>6.8</v>
      </c>
      <c r="G146" t="s">
        <v>561</v>
      </c>
      <c r="H146" s="11">
        <v>83053</v>
      </c>
      <c r="I146" s="6">
        <v>90000</v>
      </c>
      <c r="J146" s="9">
        <f t="shared" si="7"/>
        <v>592.10526315789468</v>
      </c>
      <c r="K146" s="9">
        <f t="shared" si="8"/>
        <v>9.8684210526315788</v>
      </c>
    </row>
    <row r="147" spans="1:11" x14ac:dyDescent="0.25">
      <c r="A147" t="s">
        <v>562</v>
      </c>
      <c r="B147">
        <v>2014</v>
      </c>
      <c r="C147" s="8">
        <v>94</v>
      </c>
      <c r="D147" s="8">
        <f t="shared" si="6"/>
        <v>5640</v>
      </c>
      <c r="E147" t="s">
        <v>178</v>
      </c>
      <c r="F147">
        <v>6.8</v>
      </c>
      <c r="G147" t="s">
        <v>563</v>
      </c>
      <c r="H147" s="11" t="s">
        <v>564</v>
      </c>
      <c r="I147" s="6">
        <v>920000</v>
      </c>
      <c r="J147" s="9">
        <f t="shared" si="7"/>
        <v>9787.2340425531911</v>
      </c>
      <c r="K147" s="9">
        <f t="shared" si="8"/>
        <v>163.12056737588654</v>
      </c>
    </row>
    <row r="148" spans="1:11" x14ac:dyDescent="0.25">
      <c r="A148" t="s">
        <v>566</v>
      </c>
      <c r="B148">
        <v>2016</v>
      </c>
      <c r="C148" s="8">
        <v>86</v>
      </c>
      <c r="D148" s="8">
        <f t="shared" si="6"/>
        <v>5160</v>
      </c>
      <c r="E148" t="s">
        <v>14</v>
      </c>
      <c r="F148">
        <v>6.8</v>
      </c>
      <c r="G148" t="s">
        <v>526</v>
      </c>
      <c r="H148" s="11" t="s">
        <v>567</v>
      </c>
      <c r="I148" s="6">
        <v>10000</v>
      </c>
      <c r="J148" s="9">
        <f t="shared" si="7"/>
        <v>116.27906976744185</v>
      </c>
      <c r="K148" s="9">
        <f t="shared" si="8"/>
        <v>1.9379844961240309</v>
      </c>
    </row>
    <row r="149" spans="1:11" x14ac:dyDescent="0.25">
      <c r="A149" t="s">
        <v>569</v>
      </c>
      <c r="B149">
        <v>2013</v>
      </c>
      <c r="C149" s="8">
        <v>98</v>
      </c>
      <c r="D149" s="8">
        <f t="shared" si="6"/>
        <v>5880</v>
      </c>
      <c r="E149" t="s">
        <v>570</v>
      </c>
      <c r="F149">
        <v>6.8</v>
      </c>
      <c r="G149" t="s">
        <v>571</v>
      </c>
      <c r="H149" s="11" t="s">
        <v>572</v>
      </c>
      <c r="I149" s="6">
        <v>66380000</v>
      </c>
      <c r="J149" s="9">
        <f t="shared" si="7"/>
        <v>677346.93877551018</v>
      </c>
      <c r="K149" s="9">
        <f t="shared" si="8"/>
        <v>11289.115646258504</v>
      </c>
    </row>
    <row r="150" spans="1:11" x14ac:dyDescent="0.25">
      <c r="A150" t="s">
        <v>574</v>
      </c>
      <c r="B150">
        <v>2004</v>
      </c>
      <c r="C150" s="8">
        <v>122</v>
      </c>
      <c r="D150" s="8">
        <f t="shared" si="6"/>
        <v>7320</v>
      </c>
      <c r="E150" t="s">
        <v>451</v>
      </c>
      <c r="F150">
        <v>6.8</v>
      </c>
      <c r="G150" t="s">
        <v>236</v>
      </c>
      <c r="H150" s="11" t="s">
        <v>575</v>
      </c>
      <c r="I150" s="6">
        <v>59620000</v>
      </c>
      <c r="J150" s="9">
        <f t="shared" si="7"/>
        <v>488688.52459016396</v>
      </c>
      <c r="K150" s="9">
        <f t="shared" si="8"/>
        <v>8144.8087431693993</v>
      </c>
    </row>
    <row r="151" spans="1:11" x14ac:dyDescent="0.25">
      <c r="A151">
        <v>1408</v>
      </c>
      <c r="B151">
        <v>2007</v>
      </c>
      <c r="C151" s="8">
        <v>104</v>
      </c>
      <c r="D151" s="8">
        <f t="shared" si="6"/>
        <v>6240</v>
      </c>
      <c r="E151" t="s">
        <v>284</v>
      </c>
      <c r="F151">
        <v>6.8</v>
      </c>
      <c r="G151" t="s">
        <v>578</v>
      </c>
      <c r="H151" s="11" t="s">
        <v>579</v>
      </c>
      <c r="I151" s="6">
        <v>71990000</v>
      </c>
      <c r="J151" s="9">
        <f t="shared" si="7"/>
        <v>692211.5384615385</v>
      </c>
      <c r="K151" s="9">
        <f t="shared" si="8"/>
        <v>11536.858974358975</v>
      </c>
    </row>
    <row r="152" spans="1:11" x14ac:dyDescent="0.25">
      <c r="A152" t="s">
        <v>581</v>
      </c>
      <c r="B152">
        <v>1980</v>
      </c>
      <c r="C152" s="8">
        <v>89</v>
      </c>
      <c r="D152" s="8">
        <f t="shared" si="6"/>
        <v>5340</v>
      </c>
      <c r="E152" t="s">
        <v>72</v>
      </c>
      <c r="F152">
        <v>6.8</v>
      </c>
      <c r="G152" t="s">
        <v>25</v>
      </c>
      <c r="H152" s="11">
        <v>78302</v>
      </c>
      <c r="I152" s="6">
        <v>21380000</v>
      </c>
      <c r="J152" s="9">
        <f t="shared" si="7"/>
        <v>240224.7191011236</v>
      </c>
      <c r="K152" s="9">
        <f t="shared" si="8"/>
        <v>4003.7453183520597</v>
      </c>
    </row>
    <row r="153" spans="1:11" x14ac:dyDescent="0.25">
      <c r="A153" t="s">
        <v>583</v>
      </c>
      <c r="B153">
        <v>1982</v>
      </c>
      <c r="C153" s="8">
        <v>120</v>
      </c>
      <c r="D153" s="8">
        <f t="shared" si="6"/>
        <v>7200</v>
      </c>
      <c r="E153" t="s">
        <v>187</v>
      </c>
      <c r="F153">
        <v>6.8</v>
      </c>
      <c r="G153" t="s">
        <v>73</v>
      </c>
      <c r="H153" s="11">
        <v>50496</v>
      </c>
      <c r="I153" s="6">
        <v>21030000</v>
      </c>
      <c r="J153" s="9">
        <f t="shared" si="7"/>
        <v>175250</v>
      </c>
      <c r="K153" s="9">
        <f t="shared" si="8"/>
        <v>2920.8333333333335</v>
      </c>
    </row>
    <row r="154" spans="1:11" x14ac:dyDescent="0.25">
      <c r="A154" t="s">
        <v>585</v>
      </c>
      <c r="B154">
        <v>2000</v>
      </c>
      <c r="C154" s="8">
        <v>108</v>
      </c>
      <c r="D154" s="8">
        <f t="shared" si="6"/>
        <v>6480</v>
      </c>
      <c r="E154" t="s">
        <v>28</v>
      </c>
      <c r="F154">
        <v>6.8</v>
      </c>
      <c r="G154" t="s">
        <v>586</v>
      </c>
      <c r="H154" s="11">
        <v>49563</v>
      </c>
      <c r="I154" s="6">
        <v>0</v>
      </c>
      <c r="J154" s="9">
        <f t="shared" si="7"/>
        <v>0</v>
      </c>
      <c r="K154" s="9">
        <f t="shared" si="8"/>
        <v>0</v>
      </c>
    </row>
    <row r="155" spans="1:11" x14ac:dyDescent="0.25">
      <c r="A155" t="s">
        <v>588</v>
      </c>
      <c r="B155">
        <v>1990</v>
      </c>
      <c r="C155" s="8">
        <v>91</v>
      </c>
      <c r="D155" s="8">
        <f t="shared" si="6"/>
        <v>5460</v>
      </c>
      <c r="E155" t="s">
        <v>589</v>
      </c>
      <c r="F155">
        <v>6.8</v>
      </c>
      <c r="G155" t="s">
        <v>389</v>
      </c>
      <c r="H155" s="11">
        <v>52433</v>
      </c>
      <c r="I155" s="6">
        <v>10360000</v>
      </c>
      <c r="J155" s="9">
        <f t="shared" si="7"/>
        <v>113846.15384615384</v>
      </c>
      <c r="K155" s="9">
        <f t="shared" si="8"/>
        <v>1897.4358974358975</v>
      </c>
    </row>
    <row r="156" spans="1:11" x14ac:dyDescent="0.25">
      <c r="A156" t="s">
        <v>591</v>
      </c>
      <c r="B156">
        <v>1999</v>
      </c>
      <c r="C156" s="8">
        <v>97</v>
      </c>
      <c r="D156" s="8">
        <f t="shared" si="6"/>
        <v>5820</v>
      </c>
      <c r="E156" t="s">
        <v>24</v>
      </c>
      <c r="F156">
        <v>6.8</v>
      </c>
      <c r="G156" t="s">
        <v>112</v>
      </c>
      <c r="H156" s="11" t="s">
        <v>592</v>
      </c>
      <c r="I156" s="6">
        <v>2840000</v>
      </c>
      <c r="J156" s="9">
        <f t="shared" si="7"/>
        <v>29278.350515463917</v>
      </c>
      <c r="K156" s="9">
        <f t="shared" si="8"/>
        <v>487.97250859106526</v>
      </c>
    </row>
    <row r="157" spans="1:11" x14ac:dyDescent="0.25">
      <c r="A157" t="s">
        <v>594</v>
      </c>
      <c r="B157">
        <v>1989</v>
      </c>
      <c r="C157" s="8">
        <v>96</v>
      </c>
      <c r="D157" s="8">
        <f t="shared" si="6"/>
        <v>5760</v>
      </c>
      <c r="E157" t="s">
        <v>72</v>
      </c>
      <c r="F157">
        <v>6.8</v>
      </c>
      <c r="G157" t="s">
        <v>595</v>
      </c>
      <c r="H157" s="11">
        <v>42222</v>
      </c>
      <c r="I157" s="6">
        <v>7830000</v>
      </c>
      <c r="J157" s="9">
        <f t="shared" si="7"/>
        <v>81562.5</v>
      </c>
      <c r="K157" s="9">
        <f t="shared" si="8"/>
        <v>1359.375</v>
      </c>
    </row>
    <row r="158" spans="1:11" x14ac:dyDescent="0.25">
      <c r="A158" t="s">
        <v>597</v>
      </c>
      <c r="B158">
        <v>2016</v>
      </c>
      <c r="C158" s="8">
        <v>120</v>
      </c>
      <c r="D158" s="8">
        <f t="shared" si="6"/>
        <v>7200</v>
      </c>
      <c r="E158" t="s">
        <v>329</v>
      </c>
      <c r="F158">
        <v>6.8</v>
      </c>
      <c r="G158" t="s">
        <v>598</v>
      </c>
      <c r="H158" s="11">
        <v>29845</v>
      </c>
      <c r="I158" s="6">
        <v>1920000</v>
      </c>
      <c r="J158" s="9">
        <f t="shared" si="7"/>
        <v>16000</v>
      </c>
      <c r="K158" s="9">
        <f t="shared" si="8"/>
        <v>266.66666666666669</v>
      </c>
    </row>
    <row r="159" spans="1:11" x14ac:dyDescent="0.25">
      <c r="A159" t="s">
        <v>76</v>
      </c>
      <c r="B159">
        <v>1990</v>
      </c>
      <c r="C159" s="8">
        <v>92</v>
      </c>
      <c r="D159" s="8">
        <f t="shared" si="6"/>
        <v>5520</v>
      </c>
      <c r="E159" t="s">
        <v>30</v>
      </c>
      <c r="F159">
        <v>6.8</v>
      </c>
      <c r="G159" t="s">
        <v>600</v>
      </c>
      <c r="H159" s="11">
        <v>43906</v>
      </c>
      <c r="I159" s="6">
        <v>5840000</v>
      </c>
      <c r="J159" s="9">
        <f t="shared" si="7"/>
        <v>63478.260869565216</v>
      </c>
      <c r="K159" s="9">
        <f t="shared" si="8"/>
        <v>1057.9710144927535</v>
      </c>
    </row>
    <row r="160" spans="1:11" x14ac:dyDescent="0.25">
      <c r="A160" t="s">
        <v>604</v>
      </c>
      <c r="B160">
        <v>2016</v>
      </c>
      <c r="C160" s="8">
        <v>84</v>
      </c>
      <c r="D160" s="8">
        <f t="shared" si="6"/>
        <v>5040</v>
      </c>
      <c r="E160" t="s">
        <v>28</v>
      </c>
      <c r="F160">
        <v>6.8</v>
      </c>
      <c r="G160" t="s">
        <v>605</v>
      </c>
      <c r="H160" s="11">
        <v>28891</v>
      </c>
      <c r="I160" s="6">
        <v>30000</v>
      </c>
      <c r="J160" s="9">
        <f t="shared" si="7"/>
        <v>357.14285714285717</v>
      </c>
      <c r="K160" s="9">
        <f t="shared" si="8"/>
        <v>5.9523809523809526</v>
      </c>
    </row>
    <row r="161" spans="1:11" x14ac:dyDescent="0.25">
      <c r="A161" t="s">
        <v>608</v>
      </c>
      <c r="B161">
        <v>2018</v>
      </c>
      <c r="C161" s="8">
        <v>152</v>
      </c>
      <c r="D161" s="8">
        <f t="shared" si="6"/>
        <v>9120</v>
      </c>
      <c r="E161" t="s">
        <v>28</v>
      </c>
      <c r="F161">
        <v>6.7</v>
      </c>
      <c r="G161" t="s">
        <v>538</v>
      </c>
      <c r="H161" s="11">
        <v>84786</v>
      </c>
      <c r="I161" s="6">
        <v>2470000</v>
      </c>
      <c r="J161" s="9">
        <f t="shared" si="7"/>
        <v>16250</v>
      </c>
      <c r="K161" s="9">
        <f t="shared" si="8"/>
        <v>270.83333333333331</v>
      </c>
    </row>
    <row r="162" spans="1:11" x14ac:dyDescent="0.25">
      <c r="A162" t="s">
        <v>610</v>
      </c>
      <c r="B162">
        <v>2008</v>
      </c>
      <c r="C162" s="8">
        <v>91</v>
      </c>
      <c r="D162" s="8">
        <f t="shared" si="6"/>
        <v>5460</v>
      </c>
      <c r="E162" t="s">
        <v>72</v>
      </c>
      <c r="F162">
        <v>6.7</v>
      </c>
      <c r="G162" t="s">
        <v>611</v>
      </c>
      <c r="H162" s="11">
        <v>89408</v>
      </c>
      <c r="I162" s="6">
        <v>10000</v>
      </c>
      <c r="J162" s="9">
        <f t="shared" si="7"/>
        <v>109.89010989010988</v>
      </c>
      <c r="K162" s="9">
        <f t="shared" si="8"/>
        <v>1.8315018315018314</v>
      </c>
    </row>
    <row r="163" spans="1:11" x14ac:dyDescent="0.25">
      <c r="A163" t="s">
        <v>612</v>
      </c>
      <c r="B163">
        <v>2000</v>
      </c>
      <c r="C163" s="8">
        <v>98</v>
      </c>
      <c r="D163" s="8">
        <f t="shared" si="6"/>
        <v>5880</v>
      </c>
      <c r="E163" t="s">
        <v>72</v>
      </c>
      <c r="F163">
        <v>6.7</v>
      </c>
      <c r="G163" t="s">
        <v>613</v>
      </c>
      <c r="H163" s="11" t="s">
        <v>614</v>
      </c>
      <c r="I163" s="6">
        <v>53330000</v>
      </c>
      <c r="J163" s="9">
        <f t="shared" si="7"/>
        <v>544183.67346938781</v>
      </c>
      <c r="K163" s="9">
        <f t="shared" si="8"/>
        <v>9069.7278911564626</v>
      </c>
    </row>
    <row r="164" spans="1:11" x14ac:dyDescent="0.25">
      <c r="A164" t="s">
        <v>616</v>
      </c>
      <c r="B164">
        <v>2019</v>
      </c>
      <c r="C164" s="8">
        <v>99</v>
      </c>
      <c r="D164" s="8">
        <f t="shared" si="6"/>
        <v>5940</v>
      </c>
      <c r="E164" t="s">
        <v>116</v>
      </c>
      <c r="F164">
        <v>6.7</v>
      </c>
      <c r="G164" t="s">
        <v>117</v>
      </c>
      <c r="H164" s="11" t="s">
        <v>617</v>
      </c>
      <c r="I164" s="6">
        <v>73120000</v>
      </c>
      <c r="J164" s="9">
        <f t="shared" si="7"/>
        <v>738585.8585858586</v>
      </c>
      <c r="K164" s="9">
        <f t="shared" si="8"/>
        <v>12309.76430976431</v>
      </c>
    </row>
    <row r="165" spans="1:11" x14ac:dyDescent="0.25">
      <c r="A165" t="s">
        <v>619</v>
      </c>
      <c r="B165">
        <v>2005</v>
      </c>
      <c r="C165" s="8">
        <v>107</v>
      </c>
      <c r="D165" s="8">
        <f t="shared" si="6"/>
        <v>6420</v>
      </c>
      <c r="E165" t="s">
        <v>620</v>
      </c>
      <c r="F165">
        <v>6.7</v>
      </c>
      <c r="G165" t="s">
        <v>621</v>
      </c>
      <c r="H165" s="11" t="s">
        <v>622</v>
      </c>
      <c r="I165" s="6">
        <v>17040000</v>
      </c>
      <c r="J165" s="9">
        <f t="shared" si="7"/>
        <v>159252.33644859813</v>
      </c>
      <c r="K165" s="9">
        <f t="shared" si="8"/>
        <v>2654.2056074766356</v>
      </c>
    </row>
    <row r="166" spans="1:11" x14ac:dyDescent="0.25">
      <c r="A166" t="s">
        <v>624</v>
      </c>
      <c r="B166">
        <v>2009</v>
      </c>
      <c r="C166" s="8">
        <v>108</v>
      </c>
      <c r="D166" s="8">
        <f t="shared" si="6"/>
        <v>6480</v>
      </c>
      <c r="E166" t="s">
        <v>625</v>
      </c>
      <c r="F166">
        <v>6.7</v>
      </c>
      <c r="G166" t="s">
        <v>626</v>
      </c>
      <c r="H166" s="11" t="s">
        <v>627</v>
      </c>
      <c r="I166" s="6">
        <v>10330000</v>
      </c>
      <c r="J166" s="9">
        <f t="shared" si="7"/>
        <v>95648.148148148146</v>
      </c>
      <c r="K166" s="9">
        <f t="shared" si="8"/>
        <v>1594.1358024691358</v>
      </c>
    </row>
    <row r="167" spans="1:11" x14ac:dyDescent="0.25">
      <c r="A167" t="s">
        <v>629</v>
      </c>
      <c r="B167">
        <v>1983</v>
      </c>
      <c r="C167" s="8">
        <v>110</v>
      </c>
      <c r="D167" s="8">
        <f t="shared" si="6"/>
        <v>6600</v>
      </c>
      <c r="E167" t="s">
        <v>72</v>
      </c>
      <c r="F167">
        <v>6.7</v>
      </c>
      <c r="G167" t="s">
        <v>25</v>
      </c>
      <c r="H167" s="11">
        <v>87453</v>
      </c>
      <c r="I167" s="6">
        <v>21200000</v>
      </c>
      <c r="J167" s="9">
        <f t="shared" si="7"/>
        <v>192727.27272727274</v>
      </c>
      <c r="K167" s="9">
        <f t="shared" si="8"/>
        <v>3212.121212121212</v>
      </c>
    </row>
    <row r="168" spans="1:11" x14ac:dyDescent="0.25">
      <c r="A168" t="s">
        <v>631</v>
      </c>
      <c r="B168">
        <v>2017</v>
      </c>
      <c r="C168" s="8">
        <v>110</v>
      </c>
      <c r="D168" s="8">
        <f t="shared" si="6"/>
        <v>6600</v>
      </c>
      <c r="E168" t="s">
        <v>504</v>
      </c>
      <c r="F168">
        <v>6.7</v>
      </c>
      <c r="G168" t="s">
        <v>632</v>
      </c>
      <c r="H168" s="11">
        <v>35303</v>
      </c>
      <c r="I168" s="6">
        <v>0</v>
      </c>
      <c r="J168" s="9">
        <f t="shared" si="7"/>
        <v>0</v>
      </c>
      <c r="K168" s="9">
        <f t="shared" si="8"/>
        <v>0</v>
      </c>
    </row>
    <row r="169" spans="1:11" x14ac:dyDescent="0.25">
      <c r="A169" t="s">
        <v>633</v>
      </c>
      <c r="B169">
        <v>2000</v>
      </c>
      <c r="C169" s="8">
        <v>111</v>
      </c>
      <c r="D169" s="8">
        <f t="shared" si="6"/>
        <v>6660</v>
      </c>
      <c r="E169" t="s">
        <v>28</v>
      </c>
      <c r="F169">
        <v>6.7</v>
      </c>
      <c r="G169" t="s">
        <v>91</v>
      </c>
      <c r="H169" s="11">
        <v>72059</v>
      </c>
      <c r="I169" s="6">
        <v>12010000</v>
      </c>
      <c r="J169" s="9">
        <f t="shared" si="7"/>
        <v>108198.1981981982</v>
      </c>
      <c r="K169" s="9">
        <f t="shared" si="8"/>
        <v>1803.3033033033032</v>
      </c>
    </row>
    <row r="170" spans="1:11" x14ac:dyDescent="0.25">
      <c r="A170" t="s">
        <v>635</v>
      </c>
      <c r="B170">
        <v>2002</v>
      </c>
      <c r="C170" s="8">
        <v>117</v>
      </c>
      <c r="D170" s="8">
        <f t="shared" si="6"/>
        <v>7020</v>
      </c>
      <c r="E170" t="s">
        <v>325</v>
      </c>
      <c r="F170">
        <v>6.7</v>
      </c>
      <c r="G170" t="s">
        <v>236</v>
      </c>
      <c r="H170" s="11" t="s">
        <v>636</v>
      </c>
      <c r="I170" s="6">
        <v>82350000</v>
      </c>
      <c r="J170" s="9">
        <f t="shared" si="7"/>
        <v>703846.15384615387</v>
      </c>
      <c r="K170" s="9">
        <f t="shared" si="8"/>
        <v>11730.76923076923</v>
      </c>
    </row>
    <row r="171" spans="1:11" x14ac:dyDescent="0.25">
      <c r="A171" t="s">
        <v>638</v>
      </c>
      <c r="B171">
        <v>2003</v>
      </c>
      <c r="C171" s="8">
        <v>91</v>
      </c>
      <c r="D171" s="8">
        <f t="shared" si="6"/>
        <v>5460</v>
      </c>
      <c r="E171" t="s">
        <v>30</v>
      </c>
      <c r="F171">
        <v>6.7</v>
      </c>
      <c r="G171" t="s">
        <v>639</v>
      </c>
      <c r="H171" s="11">
        <v>74795</v>
      </c>
      <c r="I171" s="6">
        <v>3680000</v>
      </c>
      <c r="J171" s="9">
        <f t="shared" si="7"/>
        <v>40439.560439560439</v>
      </c>
      <c r="K171" s="9">
        <f t="shared" si="8"/>
        <v>673.99267399267399</v>
      </c>
    </row>
    <row r="172" spans="1:11" x14ac:dyDescent="0.25">
      <c r="A172" t="s">
        <v>641</v>
      </c>
      <c r="B172">
        <v>1992</v>
      </c>
      <c r="C172" s="8">
        <v>99</v>
      </c>
      <c r="D172" s="8">
        <f t="shared" si="6"/>
        <v>5940</v>
      </c>
      <c r="E172" t="s">
        <v>72</v>
      </c>
      <c r="F172">
        <v>6.7</v>
      </c>
      <c r="G172" t="s">
        <v>642</v>
      </c>
      <c r="H172" s="11">
        <v>95591</v>
      </c>
      <c r="I172" s="6">
        <v>25790000</v>
      </c>
      <c r="J172" s="9">
        <f t="shared" si="7"/>
        <v>260505.05050505052</v>
      </c>
      <c r="K172" s="9">
        <f t="shared" si="8"/>
        <v>4341.7508417508416</v>
      </c>
    </row>
    <row r="173" spans="1:11" x14ac:dyDescent="0.25">
      <c r="A173" t="s">
        <v>644</v>
      </c>
      <c r="B173">
        <v>2001</v>
      </c>
      <c r="C173" s="8">
        <v>122</v>
      </c>
      <c r="D173" s="8">
        <f t="shared" si="6"/>
        <v>7320</v>
      </c>
      <c r="E173" t="s">
        <v>14</v>
      </c>
      <c r="F173">
        <v>6.7</v>
      </c>
      <c r="G173" t="s">
        <v>645</v>
      </c>
      <c r="H173" s="11" t="s">
        <v>646</v>
      </c>
      <c r="I173" s="6">
        <v>31600000</v>
      </c>
      <c r="J173" s="9">
        <f t="shared" si="7"/>
        <v>259016.39344262294</v>
      </c>
      <c r="K173" s="9">
        <f t="shared" si="8"/>
        <v>4316.9398907103823</v>
      </c>
    </row>
    <row r="174" spans="1:11" x14ac:dyDescent="0.25">
      <c r="A174" t="s">
        <v>649</v>
      </c>
      <c r="B174">
        <v>1981</v>
      </c>
      <c r="C174" s="8">
        <v>103</v>
      </c>
      <c r="D174" s="8">
        <f t="shared" si="6"/>
        <v>6180</v>
      </c>
      <c r="E174" t="s">
        <v>344</v>
      </c>
      <c r="F174">
        <v>6.7</v>
      </c>
      <c r="G174" t="s">
        <v>112</v>
      </c>
      <c r="H174" s="11">
        <v>58736</v>
      </c>
      <c r="I174" s="6">
        <v>14230000</v>
      </c>
      <c r="J174" s="9">
        <f t="shared" si="7"/>
        <v>138155.33980582524</v>
      </c>
      <c r="K174" s="9">
        <f t="shared" si="8"/>
        <v>2302.588996763754</v>
      </c>
    </row>
    <row r="175" spans="1:11" x14ac:dyDescent="0.25">
      <c r="A175" t="s">
        <v>651</v>
      </c>
      <c r="B175">
        <v>2005</v>
      </c>
      <c r="C175" s="8">
        <v>119</v>
      </c>
      <c r="D175" s="8">
        <f t="shared" si="6"/>
        <v>7140</v>
      </c>
      <c r="E175" t="s">
        <v>39</v>
      </c>
      <c r="F175">
        <v>6.7</v>
      </c>
      <c r="G175" t="s">
        <v>476</v>
      </c>
      <c r="H175" s="11" t="s">
        <v>652</v>
      </c>
      <c r="I175" s="6">
        <v>75070000</v>
      </c>
      <c r="J175" s="9">
        <f t="shared" si="7"/>
        <v>630840.33613445377</v>
      </c>
      <c r="K175" s="9">
        <f t="shared" si="8"/>
        <v>10514.005602240897</v>
      </c>
    </row>
    <row r="176" spans="1:11" x14ac:dyDescent="0.25">
      <c r="A176" t="s">
        <v>654</v>
      </c>
      <c r="B176">
        <v>2018</v>
      </c>
      <c r="C176" s="8">
        <v>105</v>
      </c>
      <c r="D176" s="8">
        <f t="shared" si="6"/>
        <v>6300</v>
      </c>
      <c r="E176" t="s">
        <v>42</v>
      </c>
      <c r="F176">
        <v>6.7</v>
      </c>
      <c r="G176" t="s">
        <v>655</v>
      </c>
      <c r="H176" s="11">
        <v>43321</v>
      </c>
      <c r="I176" s="6">
        <v>90000</v>
      </c>
      <c r="J176" s="9">
        <f t="shared" si="7"/>
        <v>857.14285714285711</v>
      </c>
      <c r="K176" s="9">
        <f t="shared" si="8"/>
        <v>14.285714285714286</v>
      </c>
    </row>
    <row r="177" spans="1:11" x14ac:dyDescent="0.25">
      <c r="A177" t="s">
        <v>657</v>
      </c>
      <c r="B177">
        <v>2009</v>
      </c>
      <c r="C177" s="8">
        <v>101</v>
      </c>
      <c r="D177" s="8">
        <f t="shared" si="6"/>
        <v>6060</v>
      </c>
      <c r="E177" t="s">
        <v>658</v>
      </c>
      <c r="F177">
        <v>6.7</v>
      </c>
      <c r="G177" t="s">
        <v>659</v>
      </c>
      <c r="H177" s="11" t="s">
        <v>660</v>
      </c>
      <c r="I177" s="6">
        <v>77230000</v>
      </c>
      <c r="J177" s="9">
        <f t="shared" si="7"/>
        <v>764653.46534653462</v>
      </c>
      <c r="K177" s="9">
        <f t="shared" si="8"/>
        <v>12744.224422442245</v>
      </c>
    </row>
    <row r="178" spans="1:11" x14ac:dyDescent="0.25">
      <c r="A178" t="s">
        <v>662</v>
      </c>
      <c r="B178">
        <v>2014</v>
      </c>
      <c r="C178" s="8">
        <v>99</v>
      </c>
      <c r="D178" s="8">
        <f t="shared" si="6"/>
        <v>5940</v>
      </c>
      <c r="E178" t="s">
        <v>14</v>
      </c>
      <c r="F178">
        <v>6.7</v>
      </c>
      <c r="G178" t="s">
        <v>663</v>
      </c>
      <c r="H178" s="11">
        <v>57113</v>
      </c>
      <c r="I178" s="6">
        <v>1170000</v>
      </c>
      <c r="J178" s="9">
        <f t="shared" si="7"/>
        <v>11818.181818181818</v>
      </c>
      <c r="K178" s="9">
        <f t="shared" si="8"/>
        <v>196.96969696969697</v>
      </c>
    </row>
    <row r="179" spans="1:11" x14ac:dyDescent="0.25">
      <c r="A179" t="s">
        <v>665</v>
      </c>
      <c r="B179">
        <v>2014</v>
      </c>
      <c r="C179" s="8">
        <v>109</v>
      </c>
      <c r="D179" s="8">
        <f t="shared" si="6"/>
        <v>6540</v>
      </c>
      <c r="E179" t="s">
        <v>666</v>
      </c>
      <c r="F179">
        <v>6.7</v>
      </c>
      <c r="G179" t="s">
        <v>667</v>
      </c>
      <c r="H179" s="11">
        <v>29941</v>
      </c>
      <c r="I179" s="6">
        <v>50000</v>
      </c>
      <c r="J179" s="9">
        <f t="shared" si="7"/>
        <v>458.71559633027522</v>
      </c>
      <c r="K179" s="9">
        <f t="shared" si="8"/>
        <v>7.6452599388379205</v>
      </c>
    </row>
    <row r="180" spans="1:11" x14ac:dyDescent="0.25">
      <c r="A180" t="s">
        <v>668</v>
      </c>
      <c r="B180">
        <v>1995</v>
      </c>
      <c r="C180" s="8">
        <v>92</v>
      </c>
      <c r="D180" s="8">
        <f t="shared" si="6"/>
        <v>5520</v>
      </c>
      <c r="E180" t="s">
        <v>438</v>
      </c>
      <c r="F180">
        <v>6.7</v>
      </c>
      <c r="G180" t="s">
        <v>669</v>
      </c>
      <c r="H180" s="11">
        <v>25144</v>
      </c>
      <c r="I180" s="6">
        <v>21090000</v>
      </c>
      <c r="J180" s="9">
        <f t="shared" si="7"/>
        <v>229239.13043478262</v>
      </c>
      <c r="K180" s="9">
        <f t="shared" si="8"/>
        <v>3820.6521739130435</v>
      </c>
    </row>
    <row r="181" spans="1:11" x14ac:dyDescent="0.25">
      <c r="A181" t="s">
        <v>671</v>
      </c>
      <c r="B181">
        <v>2002</v>
      </c>
      <c r="C181" s="8">
        <v>92</v>
      </c>
      <c r="D181" s="8">
        <f t="shared" si="6"/>
        <v>5520</v>
      </c>
      <c r="E181" t="s">
        <v>30</v>
      </c>
      <c r="F181">
        <v>6.7</v>
      </c>
      <c r="G181" t="s">
        <v>672</v>
      </c>
      <c r="H181" s="11">
        <v>46324</v>
      </c>
      <c r="I181" s="6">
        <v>330000</v>
      </c>
      <c r="J181" s="9">
        <f t="shared" si="7"/>
        <v>3586.9565217391305</v>
      </c>
      <c r="K181" s="9">
        <f t="shared" si="8"/>
        <v>59.782608695652172</v>
      </c>
    </row>
    <row r="182" spans="1:11" x14ac:dyDescent="0.25">
      <c r="A182" t="s">
        <v>674</v>
      </c>
      <c r="B182">
        <v>2015</v>
      </c>
      <c r="C182" s="8">
        <v>93</v>
      </c>
      <c r="D182" s="8">
        <f t="shared" si="6"/>
        <v>5580</v>
      </c>
      <c r="E182" t="s">
        <v>675</v>
      </c>
      <c r="F182">
        <v>6.7</v>
      </c>
      <c r="G182" t="s">
        <v>655</v>
      </c>
      <c r="H182" s="11">
        <v>28926</v>
      </c>
      <c r="I182" s="6">
        <v>50000</v>
      </c>
      <c r="J182" s="9">
        <f t="shared" si="7"/>
        <v>537.63440860215053</v>
      </c>
      <c r="K182" s="9">
        <f t="shared" si="8"/>
        <v>8.9605734767025087</v>
      </c>
    </row>
    <row r="183" spans="1:11" x14ac:dyDescent="0.25">
      <c r="A183" t="s">
        <v>676</v>
      </c>
      <c r="B183">
        <v>1992</v>
      </c>
      <c r="C183" s="8">
        <v>94</v>
      </c>
      <c r="D183" s="8">
        <f t="shared" si="6"/>
        <v>5640</v>
      </c>
      <c r="E183" t="s">
        <v>28</v>
      </c>
      <c r="F183">
        <v>6.7</v>
      </c>
      <c r="G183" t="s">
        <v>236</v>
      </c>
      <c r="H183" s="11">
        <v>31873</v>
      </c>
      <c r="I183" s="6">
        <v>620000</v>
      </c>
      <c r="J183" s="9">
        <f t="shared" si="7"/>
        <v>6595.744680851064</v>
      </c>
      <c r="K183" s="9">
        <f t="shared" si="8"/>
        <v>109.9290780141844</v>
      </c>
    </row>
    <row r="184" spans="1:11" x14ac:dyDescent="0.25">
      <c r="A184" t="s">
        <v>680</v>
      </c>
      <c r="B184">
        <v>2006</v>
      </c>
      <c r="C184" s="8">
        <v>93</v>
      </c>
      <c r="D184" s="8">
        <f t="shared" si="6"/>
        <v>5580</v>
      </c>
      <c r="E184" t="s">
        <v>142</v>
      </c>
      <c r="F184">
        <v>6.7</v>
      </c>
      <c r="G184" t="s">
        <v>681</v>
      </c>
      <c r="H184" s="11">
        <v>29699</v>
      </c>
      <c r="I184" s="6">
        <v>300000</v>
      </c>
      <c r="J184" s="9">
        <f t="shared" si="7"/>
        <v>3225.8064516129034</v>
      </c>
      <c r="K184" s="9">
        <f t="shared" si="8"/>
        <v>53.763440860215056</v>
      </c>
    </row>
    <row r="185" spans="1:11" x14ac:dyDescent="0.25">
      <c r="A185" t="s">
        <v>682</v>
      </c>
      <c r="B185">
        <v>2017</v>
      </c>
      <c r="C185" s="8">
        <v>121</v>
      </c>
      <c r="D185" s="8">
        <f t="shared" si="6"/>
        <v>7260</v>
      </c>
      <c r="E185" t="s">
        <v>42</v>
      </c>
      <c r="F185">
        <v>6.6</v>
      </c>
      <c r="G185" t="s">
        <v>304</v>
      </c>
      <c r="H185" s="11" t="s">
        <v>683</v>
      </c>
      <c r="I185" s="6">
        <v>17800000</v>
      </c>
      <c r="J185" s="9">
        <f t="shared" si="7"/>
        <v>147107.43801652893</v>
      </c>
      <c r="K185" s="9">
        <f t="shared" si="8"/>
        <v>2451.7906336088154</v>
      </c>
    </row>
    <row r="186" spans="1:11" x14ac:dyDescent="0.25">
      <c r="A186" t="s">
        <v>685</v>
      </c>
      <c r="B186">
        <v>1997</v>
      </c>
      <c r="C186" s="8">
        <v>96</v>
      </c>
      <c r="D186" s="8">
        <f t="shared" si="6"/>
        <v>5760</v>
      </c>
      <c r="E186" t="s">
        <v>344</v>
      </c>
      <c r="F186">
        <v>6.6</v>
      </c>
      <c r="G186" t="s">
        <v>686</v>
      </c>
      <c r="H186" s="11" t="s">
        <v>687</v>
      </c>
      <c r="I186" s="6">
        <v>26670000</v>
      </c>
      <c r="J186" s="9">
        <f t="shared" si="7"/>
        <v>277812.5</v>
      </c>
      <c r="K186" s="9">
        <f t="shared" si="8"/>
        <v>4630.208333333333</v>
      </c>
    </row>
    <row r="187" spans="1:11" x14ac:dyDescent="0.25">
      <c r="A187" t="s">
        <v>689</v>
      </c>
      <c r="B187">
        <v>2017</v>
      </c>
      <c r="C187" s="8">
        <v>104</v>
      </c>
      <c r="D187" s="8">
        <f t="shared" si="6"/>
        <v>6240</v>
      </c>
      <c r="E187" t="s">
        <v>344</v>
      </c>
      <c r="F187">
        <v>6.6</v>
      </c>
      <c r="G187" t="s">
        <v>690</v>
      </c>
      <c r="H187" s="11" t="s">
        <v>691</v>
      </c>
      <c r="I187" s="6">
        <v>30230000</v>
      </c>
      <c r="J187" s="9">
        <f t="shared" si="7"/>
        <v>290673.07692307694</v>
      </c>
      <c r="K187" s="9">
        <f t="shared" si="8"/>
        <v>4844.5512820512822</v>
      </c>
    </row>
    <row r="188" spans="1:11" x14ac:dyDescent="0.25">
      <c r="A188" t="s">
        <v>693</v>
      </c>
      <c r="B188">
        <v>2002</v>
      </c>
      <c r="C188" s="8">
        <v>100</v>
      </c>
      <c r="D188" s="8">
        <f t="shared" si="6"/>
        <v>6000</v>
      </c>
      <c r="E188" t="s">
        <v>325</v>
      </c>
      <c r="F188">
        <v>6.6</v>
      </c>
      <c r="G188" t="s">
        <v>686</v>
      </c>
      <c r="H188" s="11" t="s">
        <v>694</v>
      </c>
      <c r="I188" s="6">
        <v>40120000</v>
      </c>
      <c r="J188" s="9">
        <f t="shared" si="7"/>
        <v>401200</v>
      </c>
      <c r="K188" s="9">
        <f t="shared" si="8"/>
        <v>6686.666666666667</v>
      </c>
    </row>
    <row r="189" spans="1:11" x14ac:dyDescent="0.25">
      <c r="A189" t="s">
        <v>696</v>
      </c>
      <c r="B189">
        <v>2011</v>
      </c>
      <c r="C189" s="8">
        <v>95</v>
      </c>
      <c r="D189" s="8">
        <f t="shared" si="6"/>
        <v>5700</v>
      </c>
      <c r="E189" t="s">
        <v>72</v>
      </c>
      <c r="F189">
        <v>6.6</v>
      </c>
      <c r="G189" t="s">
        <v>697</v>
      </c>
      <c r="H189" s="11" t="s">
        <v>698</v>
      </c>
      <c r="I189" s="6">
        <v>18470000</v>
      </c>
      <c r="J189" s="9">
        <f t="shared" si="7"/>
        <v>194421.05263157896</v>
      </c>
      <c r="K189" s="9">
        <f t="shared" si="8"/>
        <v>3240.3508771929824</v>
      </c>
    </row>
    <row r="190" spans="1:11" x14ac:dyDescent="0.25">
      <c r="A190" t="s">
        <v>700</v>
      </c>
      <c r="B190">
        <v>1998</v>
      </c>
      <c r="C190" s="8">
        <v>104</v>
      </c>
      <c r="D190" s="8">
        <f t="shared" si="6"/>
        <v>6240</v>
      </c>
      <c r="E190" t="s">
        <v>24</v>
      </c>
      <c r="F190">
        <v>6.6</v>
      </c>
      <c r="G190" t="s">
        <v>183</v>
      </c>
      <c r="H190" s="11" t="s">
        <v>701</v>
      </c>
      <c r="I190" s="6">
        <v>40060000</v>
      </c>
      <c r="J190" s="9">
        <f t="shared" si="7"/>
        <v>385192.30769230769</v>
      </c>
      <c r="K190" s="9">
        <f t="shared" si="8"/>
        <v>6419.8717948717949</v>
      </c>
    </row>
    <row r="191" spans="1:11" x14ac:dyDescent="0.25">
      <c r="A191" t="s">
        <v>703</v>
      </c>
      <c r="B191">
        <v>2019</v>
      </c>
      <c r="C191" s="8">
        <v>129</v>
      </c>
      <c r="D191" s="8">
        <f t="shared" si="6"/>
        <v>7740</v>
      </c>
      <c r="E191" t="s">
        <v>83</v>
      </c>
      <c r="F191">
        <v>6.6</v>
      </c>
      <c r="G191" t="s">
        <v>254</v>
      </c>
      <c r="H191" s="11" t="s">
        <v>704</v>
      </c>
      <c r="I191" s="6">
        <v>111050000</v>
      </c>
      <c r="J191" s="9">
        <f t="shared" si="7"/>
        <v>860852.71317829459</v>
      </c>
      <c r="K191" s="9">
        <f t="shared" si="8"/>
        <v>14347.545219638243</v>
      </c>
    </row>
    <row r="192" spans="1:11" x14ac:dyDescent="0.25">
      <c r="A192" t="s">
        <v>706</v>
      </c>
      <c r="B192">
        <v>2009</v>
      </c>
      <c r="C192" s="8">
        <v>99</v>
      </c>
      <c r="D192" s="8">
        <f t="shared" si="6"/>
        <v>5940</v>
      </c>
      <c r="E192" t="s">
        <v>30</v>
      </c>
      <c r="F192">
        <v>6.6</v>
      </c>
      <c r="G192" t="s">
        <v>91</v>
      </c>
      <c r="H192" s="11" t="s">
        <v>707</v>
      </c>
      <c r="I192" s="6">
        <v>42100000</v>
      </c>
      <c r="J192" s="9">
        <f t="shared" si="7"/>
        <v>425252.52525252523</v>
      </c>
      <c r="K192" s="9">
        <f t="shared" si="8"/>
        <v>7087.5420875420878</v>
      </c>
    </row>
    <row r="193" spans="1:11" x14ac:dyDescent="0.25">
      <c r="A193" t="s">
        <v>709</v>
      </c>
      <c r="B193">
        <v>2007</v>
      </c>
      <c r="C193" s="8">
        <v>113</v>
      </c>
      <c r="D193" s="8">
        <f t="shared" si="6"/>
        <v>6780</v>
      </c>
      <c r="E193" t="s">
        <v>62</v>
      </c>
      <c r="F193">
        <v>6.6</v>
      </c>
      <c r="G193" t="s">
        <v>710</v>
      </c>
      <c r="H193" s="11" t="s">
        <v>711</v>
      </c>
      <c r="I193" s="6">
        <v>39570000</v>
      </c>
      <c r="J193" s="9">
        <f t="shared" si="7"/>
        <v>350176.99115044245</v>
      </c>
      <c r="K193" s="9">
        <f t="shared" si="8"/>
        <v>5836.283185840708</v>
      </c>
    </row>
    <row r="194" spans="1:11" x14ac:dyDescent="0.25">
      <c r="A194" t="s">
        <v>713</v>
      </c>
      <c r="B194">
        <v>2000</v>
      </c>
      <c r="C194" s="8">
        <v>130</v>
      </c>
      <c r="D194" s="8">
        <f t="shared" si="6"/>
        <v>7800</v>
      </c>
      <c r="E194" t="s">
        <v>42</v>
      </c>
      <c r="F194">
        <v>6.6</v>
      </c>
      <c r="G194" t="s">
        <v>714</v>
      </c>
      <c r="H194" s="11" t="s">
        <v>715</v>
      </c>
      <c r="I194" s="6">
        <v>155460000</v>
      </c>
      <c r="J194" s="9">
        <f t="shared" si="7"/>
        <v>1195846.1538461538</v>
      </c>
      <c r="K194" s="9">
        <f t="shared" si="8"/>
        <v>19930.76923076923</v>
      </c>
    </row>
    <row r="195" spans="1:11" x14ac:dyDescent="0.25">
      <c r="A195" t="s">
        <v>717</v>
      </c>
      <c r="B195">
        <v>1992</v>
      </c>
      <c r="C195" s="8">
        <v>104</v>
      </c>
      <c r="D195" s="8">
        <f t="shared" ref="D195:D258" si="9">C195*60</f>
        <v>6240</v>
      </c>
      <c r="E195" t="s">
        <v>187</v>
      </c>
      <c r="F195">
        <v>6.6</v>
      </c>
      <c r="G195" t="s">
        <v>714</v>
      </c>
      <c r="H195" s="11" t="s">
        <v>718</v>
      </c>
      <c r="I195" s="6">
        <v>58420000</v>
      </c>
      <c r="J195" s="9">
        <f t="shared" ref="J195:J258" si="10">I195/C195</f>
        <v>561730.76923076925</v>
      </c>
      <c r="K195" s="9">
        <f t="shared" ref="K195:K258" si="11">I195/D195</f>
        <v>9362.1794871794864</v>
      </c>
    </row>
    <row r="196" spans="1:11" x14ac:dyDescent="0.25">
      <c r="A196" t="s">
        <v>720</v>
      </c>
      <c r="B196">
        <v>1988</v>
      </c>
      <c r="C196" s="8">
        <v>87</v>
      </c>
      <c r="D196" s="8">
        <f t="shared" si="9"/>
        <v>5220</v>
      </c>
      <c r="E196" t="s">
        <v>72</v>
      </c>
      <c r="F196">
        <v>6.6</v>
      </c>
      <c r="G196" t="s">
        <v>458</v>
      </c>
      <c r="H196" s="11" t="s">
        <v>721</v>
      </c>
      <c r="I196" s="6">
        <v>33240000</v>
      </c>
      <c r="J196" s="9">
        <f t="shared" si="10"/>
        <v>382068.96551724139</v>
      </c>
      <c r="K196" s="9">
        <f t="shared" si="11"/>
        <v>6367.8160919540232</v>
      </c>
    </row>
    <row r="197" spans="1:11" x14ac:dyDescent="0.25">
      <c r="A197" t="s">
        <v>723</v>
      </c>
      <c r="B197">
        <v>2015</v>
      </c>
      <c r="C197" s="8">
        <v>100</v>
      </c>
      <c r="D197" s="8">
        <f t="shared" si="9"/>
        <v>6000</v>
      </c>
      <c r="E197" t="s">
        <v>42</v>
      </c>
      <c r="F197">
        <v>6.6</v>
      </c>
      <c r="G197" t="s">
        <v>724</v>
      </c>
      <c r="H197" s="11" t="s">
        <v>725</v>
      </c>
      <c r="I197" s="6">
        <v>230000</v>
      </c>
      <c r="J197" s="9">
        <f t="shared" si="10"/>
        <v>2300</v>
      </c>
      <c r="K197" s="9">
        <f t="shared" si="11"/>
        <v>38.333333333333336</v>
      </c>
    </row>
    <row r="198" spans="1:11" x14ac:dyDescent="0.25">
      <c r="A198" t="s">
        <v>727</v>
      </c>
      <c r="B198">
        <v>2017</v>
      </c>
      <c r="C198" s="8">
        <v>96</v>
      </c>
      <c r="D198" s="8">
        <f t="shared" si="9"/>
        <v>5760</v>
      </c>
      <c r="E198" t="s">
        <v>242</v>
      </c>
      <c r="F198">
        <v>6.6</v>
      </c>
      <c r="G198" t="s">
        <v>728</v>
      </c>
      <c r="H198" s="11" t="s">
        <v>729</v>
      </c>
      <c r="I198" s="6">
        <v>55680000</v>
      </c>
      <c r="J198" s="9">
        <f t="shared" si="10"/>
        <v>580000</v>
      </c>
      <c r="K198" s="9">
        <f t="shared" si="11"/>
        <v>9666.6666666666661</v>
      </c>
    </row>
    <row r="199" spans="1:11" x14ac:dyDescent="0.25">
      <c r="A199" t="s">
        <v>731</v>
      </c>
      <c r="B199">
        <v>2018</v>
      </c>
      <c r="C199" s="8">
        <v>110</v>
      </c>
      <c r="D199" s="8">
        <f t="shared" si="9"/>
        <v>6600</v>
      </c>
      <c r="E199" t="s">
        <v>325</v>
      </c>
      <c r="F199">
        <v>6.6</v>
      </c>
      <c r="G199" t="s">
        <v>732</v>
      </c>
      <c r="H199" s="11" t="s">
        <v>733</v>
      </c>
      <c r="I199" s="6">
        <v>21700000</v>
      </c>
      <c r="J199" s="9">
        <f t="shared" si="10"/>
        <v>197272.72727272726</v>
      </c>
      <c r="K199" s="9">
        <f t="shared" si="11"/>
        <v>3287.878787878788</v>
      </c>
    </row>
    <row r="200" spans="1:11" x14ac:dyDescent="0.25">
      <c r="A200" t="s">
        <v>735</v>
      </c>
      <c r="B200">
        <v>1987</v>
      </c>
      <c r="C200" s="8">
        <v>102</v>
      </c>
      <c r="D200" s="8">
        <f t="shared" si="9"/>
        <v>6120</v>
      </c>
      <c r="E200" t="s">
        <v>30</v>
      </c>
      <c r="F200">
        <v>6.6</v>
      </c>
      <c r="G200" t="s">
        <v>25</v>
      </c>
      <c r="H200" s="11">
        <v>47009</v>
      </c>
      <c r="I200" s="6">
        <v>14180000</v>
      </c>
      <c r="J200" s="9">
        <f t="shared" si="10"/>
        <v>139019.60784313726</v>
      </c>
      <c r="K200" s="9">
        <f t="shared" si="11"/>
        <v>2316.9934640522874</v>
      </c>
    </row>
    <row r="201" spans="1:11" x14ac:dyDescent="0.25">
      <c r="A201" t="s">
        <v>737</v>
      </c>
      <c r="B201">
        <v>2005</v>
      </c>
      <c r="C201" s="8">
        <v>93</v>
      </c>
      <c r="D201" s="8">
        <f t="shared" si="9"/>
        <v>5580</v>
      </c>
      <c r="E201" t="s">
        <v>178</v>
      </c>
      <c r="F201">
        <v>6.6</v>
      </c>
      <c r="G201" t="s">
        <v>738</v>
      </c>
      <c r="H201" s="11" t="s">
        <v>739</v>
      </c>
      <c r="I201" s="6">
        <v>87040000</v>
      </c>
      <c r="J201" s="9">
        <f t="shared" si="10"/>
        <v>935913.97849462368</v>
      </c>
      <c r="K201" s="9">
        <f t="shared" si="11"/>
        <v>15598.566308243728</v>
      </c>
    </row>
    <row r="202" spans="1:11" x14ac:dyDescent="0.25">
      <c r="A202" t="s">
        <v>741</v>
      </c>
      <c r="B202">
        <v>1986</v>
      </c>
      <c r="C202" s="8">
        <v>85</v>
      </c>
      <c r="D202" s="8">
        <f t="shared" si="9"/>
        <v>5100</v>
      </c>
      <c r="E202" t="s">
        <v>9</v>
      </c>
      <c r="F202">
        <v>6.6</v>
      </c>
      <c r="G202" t="s">
        <v>346</v>
      </c>
      <c r="H202" s="11">
        <v>28213</v>
      </c>
      <c r="I202" s="6">
        <v>1260000</v>
      </c>
      <c r="J202" s="9">
        <f t="shared" si="10"/>
        <v>14823.529411764706</v>
      </c>
      <c r="K202" s="9">
        <f t="shared" si="11"/>
        <v>247.05882352941177</v>
      </c>
    </row>
    <row r="203" spans="1:11" x14ac:dyDescent="0.25">
      <c r="A203" t="s">
        <v>743</v>
      </c>
      <c r="B203">
        <v>1987</v>
      </c>
      <c r="C203" s="8">
        <v>96</v>
      </c>
      <c r="D203" s="8">
        <f t="shared" si="9"/>
        <v>5760</v>
      </c>
      <c r="E203" t="s">
        <v>48</v>
      </c>
      <c r="F203">
        <v>6.6</v>
      </c>
      <c r="G203" t="s">
        <v>744</v>
      </c>
      <c r="H203" s="11">
        <v>85536</v>
      </c>
      <c r="I203" s="6">
        <v>44790000</v>
      </c>
      <c r="J203" s="9">
        <f t="shared" si="10"/>
        <v>466562.5</v>
      </c>
      <c r="K203" s="9">
        <f t="shared" si="11"/>
        <v>7776.041666666667</v>
      </c>
    </row>
    <row r="204" spans="1:11" x14ac:dyDescent="0.25">
      <c r="A204" t="s">
        <v>746</v>
      </c>
      <c r="B204">
        <v>2015</v>
      </c>
      <c r="C204" s="8">
        <v>89</v>
      </c>
      <c r="D204" s="8">
        <f t="shared" si="9"/>
        <v>5340</v>
      </c>
      <c r="E204" t="s">
        <v>446</v>
      </c>
      <c r="F204">
        <v>6.6</v>
      </c>
      <c r="G204" t="s">
        <v>447</v>
      </c>
      <c r="H204" s="11" t="s">
        <v>747</v>
      </c>
      <c r="I204" s="6">
        <v>169700000</v>
      </c>
      <c r="J204" s="9">
        <f t="shared" si="10"/>
        <v>1906741.5730337079</v>
      </c>
      <c r="K204" s="9">
        <f t="shared" si="11"/>
        <v>31779.026217228464</v>
      </c>
    </row>
    <row r="205" spans="1:11" x14ac:dyDescent="0.25">
      <c r="A205" t="s">
        <v>749</v>
      </c>
      <c r="B205">
        <v>1983</v>
      </c>
      <c r="C205" s="8">
        <v>97</v>
      </c>
      <c r="D205" s="8">
        <f t="shared" si="9"/>
        <v>5820</v>
      </c>
      <c r="E205" t="s">
        <v>19</v>
      </c>
      <c r="F205">
        <v>6.6</v>
      </c>
      <c r="G205" t="s">
        <v>750</v>
      </c>
      <c r="H205" s="11">
        <v>27761</v>
      </c>
      <c r="I205" s="6">
        <v>5980000</v>
      </c>
      <c r="J205" s="9">
        <f t="shared" si="10"/>
        <v>61649.484536082477</v>
      </c>
      <c r="K205" s="9">
        <f t="shared" si="11"/>
        <v>1027.4914089347078</v>
      </c>
    </row>
    <row r="206" spans="1:11" x14ac:dyDescent="0.25">
      <c r="A206" t="s">
        <v>752</v>
      </c>
      <c r="B206">
        <v>1988</v>
      </c>
      <c r="C206" s="8">
        <v>95</v>
      </c>
      <c r="D206" s="8">
        <f t="shared" si="9"/>
        <v>5700</v>
      </c>
      <c r="E206" t="s">
        <v>344</v>
      </c>
      <c r="F206">
        <v>6.6</v>
      </c>
      <c r="G206" t="s">
        <v>744</v>
      </c>
      <c r="H206" s="11">
        <v>40349</v>
      </c>
      <c r="I206" s="6">
        <v>8250000</v>
      </c>
      <c r="J206" s="9">
        <f t="shared" si="10"/>
        <v>86842.105263157893</v>
      </c>
      <c r="K206" s="9">
        <f t="shared" si="11"/>
        <v>1447.3684210526317</v>
      </c>
    </row>
    <row r="207" spans="1:11" x14ac:dyDescent="0.25">
      <c r="A207" t="s">
        <v>755</v>
      </c>
      <c r="B207">
        <v>1983</v>
      </c>
      <c r="C207" s="8">
        <v>113</v>
      </c>
      <c r="D207" s="8">
        <f t="shared" si="9"/>
        <v>6780</v>
      </c>
      <c r="E207" t="s">
        <v>240</v>
      </c>
      <c r="F207">
        <v>6.6</v>
      </c>
      <c r="G207" t="s">
        <v>756</v>
      </c>
      <c r="H207" s="11">
        <v>28989</v>
      </c>
      <c r="I207" s="6">
        <v>34730000</v>
      </c>
      <c r="J207" s="9">
        <f t="shared" si="10"/>
        <v>307345.1327433628</v>
      </c>
      <c r="K207" s="9">
        <f t="shared" si="11"/>
        <v>5122.4188790560474</v>
      </c>
    </row>
    <row r="208" spans="1:11" x14ac:dyDescent="0.25">
      <c r="A208" t="s">
        <v>758</v>
      </c>
      <c r="B208">
        <v>2002</v>
      </c>
      <c r="C208" s="8">
        <v>93</v>
      </c>
      <c r="D208" s="8">
        <f t="shared" si="9"/>
        <v>5580</v>
      </c>
      <c r="E208" t="s">
        <v>142</v>
      </c>
      <c r="F208">
        <v>6.6</v>
      </c>
      <c r="G208" t="s">
        <v>759</v>
      </c>
      <c r="H208" s="11">
        <v>38779</v>
      </c>
      <c r="I208" s="6">
        <v>150000</v>
      </c>
      <c r="J208" s="9">
        <f t="shared" si="10"/>
        <v>1612.9032258064517</v>
      </c>
      <c r="K208" s="9">
        <f t="shared" si="11"/>
        <v>26.881720430107528</v>
      </c>
    </row>
    <row r="209" spans="1:11" x14ac:dyDescent="0.25">
      <c r="A209" t="s">
        <v>760</v>
      </c>
      <c r="B209">
        <v>1979</v>
      </c>
      <c r="C209" s="8">
        <v>89</v>
      </c>
      <c r="D209" s="8">
        <f t="shared" si="9"/>
        <v>5340</v>
      </c>
      <c r="E209" t="s">
        <v>9</v>
      </c>
      <c r="F209">
        <v>6.6</v>
      </c>
      <c r="G209" t="s">
        <v>514</v>
      </c>
      <c r="H209" s="11">
        <v>39050</v>
      </c>
      <c r="I209" s="6">
        <v>11990000</v>
      </c>
      <c r="J209" s="9">
        <f t="shared" si="10"/>
        <v>134719.10112359549</v>
      </c>
      <c r="K209" s="9">
        <f t="shared" si="11"/>
        <v>2245.318352059925</v>
      </c>
    </row>
    <row r="210" spans="1:11" x14ac:dyDescent="0.25">
      <c r="A210" t="s">
        <v>762</v>
      </c>
      <c r="B210">
        <v>2010</v>
      </c>
      <c r="C210" s="8">
        <v>84</v>
      </c>
      <c r="D210" s="8">
        <f t="shared" si="9"/>
        <v>5040</v>
      </c>
      <c r="E210" t="s">
        <v>763</v>
      </c>
      <c r="F210">
        <v>6.6</v>
      </c>
      <c r="G210" t="s">
        <v>764</v>
      </c>
      <c r="H210" s="11">
        <v>30491</v>
      </c>
      <c r="I210" s="6">
        <v>260000</v>
      </c>
      <c r="J210" s="9">
        <f t="shared" si="10"/>
        <v>3095.2380952380954</v>
      </c>
      <c r="K210" s="9">
        <f t="shared" si="11"/>
        <v>51.587301587301589</v>
      </c>
    </row>
    <row r="211" spans="1:11" x14ac:dyDescent="0.25">
      <c r="A211" t="s">
        <v>766</v>
      </c>
      <c r="B211">
        <v>2002</v>
      </c>
      <c r="C211" s="8">
        <v>99</v>
      </c>
      <c r="D211" s="8">
        <f t="shared" si="9"/>
        <v>5940</v>
      </c>
      <c r="E211" t="s">
        <v>284</v>
      </c>
      <c r="F211">
        <v>6.6</v>
      </c>
      <c r="G211" t="s">
        <v>767</v>
      </c>
      <c r="H211" s="11">
        <v>29645</v>
      </c>
      <c r="I211" s="6">
        <v>510000</v>
      </c>
      <c r="J211" s="9">
        <f t="shared" si="10"/>
        <v>5151.515151515152</v>
      </c>
      <c r="K211" s="9">
        <f t="shared" si="11"/>
        <v>85.858585858585855</v>
      </c>
    </row>
    <row r="212" spans="1:11" x14ac:dyDescent="0.25">
      <c r="A212" t="s">
        <v>768</v>
      </c>
      <c r="B212">
        <v>2013</v>
      </c>
      <c r="C212" s="8">
        <v>91</v>
      </c>
      <c r="D212" s="8">
        <f t="shared" si="9"/>
        <v>5460</v>
      </c>
      <c r="E212" t="s">
        <v>30</v>
      </c>
      <c r="F212">
        <v>6.5</v>
      </c>
      <c r="G212" t="s">
        <v>370</v>
      </c>
      <c r="H212" s="11" t="s">
        <v>769</v>
      </c>
      <c r="I212" s="6">
        <v>54240000</v>
      </c>
      <c r="J212" s="9">
        <f t="shared" si="10"/>
        <v>596043.95604395599</v>
      </c>
      <c r="K212" s="9">
        <f t="shared" si="11"/>
        <v>9934.0659340659349</v>
      </c>
    </row>
    <row r="213" spans="1:11" x14ac:dyDescent="0.25">
      <c r="A213" t="s">
        <v>771</v>
      </c>
      <c r="B213">
        <v>2019</v>
      </c>
      <c r="C213" s="8">
        <v>169</v>
      </c>
      <c r="D213" s="8">
        <f t="shared" si="9"/>
        <v>10140</v>
      </c>
      <c r="E213" t="s">
        <v>28</v>
      </c>
      <c r="F213">
        <v>6.5</v>
      </c>
      <c r="G213" t="s">
        <v>250</v>
      </c>
      <c r="H213" s="11" t="s">
        <v>772</v>
      </c>
      <c r="I213" s="6">
        <v>211590000</v>
      </c>
      <c r="J213" s="9">
        <f t="shared" si="10"/>
        <v>1252011.8343195266</v>
      </c>
      <c r="K213" s="9">
        <f t="shared" si="11"/>
        <v>20866.863905325445</v>
      </c>
    </row>
    <row r="214" spans="1:11" x14ac:dyDescent="0.25">
      <c r="A214" t="s">
        <v>774</v>
      </c>
      <c r="B214">
        <v>2020</v>
      </c>
      <c r="C214" s="8">
        <v>90</v>
      </c>
      <c r="D214" s="8">
        <f t="shared" si="9"/>
        <v>5400</v>
      </c>
      <c r="E214" t="s">
        <v>107</v>
      </c>
      <c r="F214">
        <v>6.5</v>
      </c>
      <c r="G214" t="s">
        <v>775</v>
      </c>
      <c r="H214" s="11" t="s">
        <v>776</v>
      </c>
      <c r="I214" s="6">
        <v>5810000</v>
      </c>
      <c r="J214" s="9">
        <f t="shared" si="10"/>
        <v>64555.555555555555</v>
      </c>
      <c r="K214" s="9">
        <f t="shared" si="11"/>
        <v>1075.9259259259259</v>
      </c>
    </row>
    <row r="215" spans="1:11" x14ac:dyDescent="0.25">
      <c r="A215" t="s">
        <v>778</v>
      </c>
      <c r="B215">
        <v>2006</v>
      </c>
      <c r="C215" s="8">
        <v>125</v>
      </c>
      <c r="D215" s="8">
        <f t="shared" si="9"/>
        <v>7500</v>
      </c>
      <c r="E215" t="s">
        <v>178</v>
      </c>
      <c r="F215">
        <v>6.5</v>
      </c>
      <c r="G215" t="s">
        <v>464</v>
      </c>
      <c r="H215" s="11" t="s">
        <v>779</v>
      </c>
      <c r="I215" s="6">
        <v>46980000</v>
      </c>
      <c r="J215" s="9">
        <f t="shared" si="10"/>
        <v>375840</v>
      </c>
      <c r="K215" s="9">
        <f t="shared" si="11"/>
        <v>6264</v>
      </c>
    </row>
    <row r="216" spans="1:11" x14ac:dyDescent="0.25">
      <c r="A216" t="s">
        <v>781</v>
      </c>
      <c r="B216">
        <v>2009</v>
      </c>
      <c r="C216" s="8">
        <v>108</v>
      </c>
      <c r="D216" s="8">
        <f t="shared" si="9"/>
        <v>6480</v>
      </c>
      <c r="E216" t="s">
        <v>39</v>
      </c>
      <c r="F216">
        <v>6.5</v>
      </c>
      <c r="G216" t="s">
        <v>561</v>
      </c>
      <c r="H216" s="11" t="s">
        <v>782</v>
      </c>
      <c r="I216" s="6">
        <v>400000</v>
      </c>
      <c r="J216" s="9">
        <f t="shared" si="10"/>
        <v>3703.7037037037039</v>
      </c>
      <c r="K216" s="9">
        <f t="shared" si="11"/>
        <v>61.728395061728392</v>
      </c>
    </row>
    <row r="217" spans="1:11" x14ac:dyDescent="0.25">
      <c r="A217" t="s">
        <v>784</v>
      </c>
      <c r="B217">
        <v>2013</v>
      </c>
      <c r="C217" s="8">
        <v>106</v>
      </c>
      <c r="D217" s="8">
        <f t="shared" si="9"/>
        <v>6360</v>
      </c>
      <c r="E217" t="s">
        <v>14</v>
      </c>
      <c r="F217">
        <v>6.5</v>
      </c>
      <c r="G217" t="s">
        <v>103</v>
      </c>
      <c r="H217" s="11" t="s">
        <v>785</v>
      </c>
      <c r="I217" s="6">
        <v>83590000</v>
      </c>
      <c r="J217" s="9">
        <f t="shared" si="10"/>
        <v>788584.90566037735</v>
      </c>
      <c r="K217" s="9">
        <f t="shared" si="11"/>
        <v>13143.08176100629</v>
      </c>
    </row>
    <row r="218" spans="1:11" x14ac:dyDescent="0.25">
      <c r="A218" t="s">
        <v>787</v>
      </c>
      <c r="B218">
        <v>2009</v>
      </c>
      <c r="C218" s="8">
        <v>110</v>
      </c>
      <c r="D218" s="8">
        <f t="shared" si="9"/>
        <v>6600</v>
      </c>
      <c r="E218" t="s">
        <v>72</v>
      </c>
      <c r="F218">
        <v>6.5</v>
      </c>
      <c r="G218" t="s">
        <v>788</v>
      </c>
      <c r="H218" s="11">
        <v>96680</v>
      </c>
      <c r="I218" s="6">
        <v>32750000</v>
      </c>
      <c r="J218" s="9">
        <f t="shared" si="10"/>
        <v>297727.27272727271</v>
      </c>
      <c r="K218" s="9">
        <f t="shared" si="11"/>
        <v>4962.121212121212</v>
      </c>
    </row>
    <row r="219" spans="1:11" x14ac:dyDescent="0.25">
      <c r="A219" t="s">
        <v>790</v>
      </c>
      <c r="B219">
        <v>2018</v>
      </c>
      <c r="C219" s="8">
        <v>121</v>
      </c>
      <c r="D219" s="8">
        <f t="shared" si="9"/>
        <v>7260</v>
      </c>
      <c r="E219" t="s">
        <v>438</v>
      </c>
      <c r="F219">
        <v>6.5</v>
      </c>
      <c r="G219" t="s">
        <v>791</v>
      </c>
      <c r="H219" s="11">
        <v>83932</v>
      </c>
      <c r="I219" s="6">
        <v>1210000</v>
      </c>
      <c r="J219" s="9">
        <f t="shared" si="10"/>
        <v>10000</v>
      </c>
      <c r="K219" s="9">
        <f t="shared" si="11"/>
        <v>166.66666666666666</v>
      </c>
    </row>
    <row r="220" spans="1:11" x14ac:dyDescent="0.25">
      <c r="A220" t="s">
        <v>793</v>
      </c>
      <c r="B220">
        <v>2006</v>
      </c>
      <c r="C220" s="8">
        <v>95</v>
      </c>
      <c r="D220" s="8">
        <f t="shared" si="9"/>
        <v>5700</v>
      </c>
      <c r="E220" t="s">
        <v>296</v>
      </c>
      <c r="F220">
        <v>6.5</v>
      </c>
      <c r="G220" t="s">
        <v>794</v>
      </c>
      <c r="H220" s="11">
        <v>85847</v>
      </c>
      <c r="I220" s="6">
        <v>7770000</v>
      </c>
      <c r="J220" s="9">
        <f t="shared" si="10"/>
        <v>81789.473684210519</v>
      </c>
      <c r="K220" s="9">
        <f t="shared" si="11"/>
        <v>1363.1578947368421</v>
      </c>
    </row>
    <row r="221" spans="1:11" x14ac:dyDescent="0.25">
      <c r="A221" t="s">
        <v>796</v>
      </c>
      <c r="B221">
        <v>1999</v>
      </c>
      <c r="C221" s="8">
        <v>81</v>
      </c>
      <c r="D221" s="8">
        <f t="shared" si="9"/>
        <v>4860</v>
      </c>
      <c r="E221" t="s">
        <v>178</v>
      </c>
      <c r="F221">
        <v>6.5</v>
      </c>
      <c r="G221" t="s">
        <v>797</v>
      </c>
      <c r="H221" s="11" t="s">
        <v>798</v>
      </c>
      <c r="I221" s="6">
        <v>140540000</v>
      </c>
      <c r="J221" s="9">
        <f t="shared" si="10"/>
        <v>1735061.7283950618</v>
      </c>
      <c r="K221" s="9">
        <f t="shared" si="11"/>
        <v>28917.695473251028</v>
      </c>
    </row>
    <row r="222" spans="1:11" x14ac:dyDescent="0.25">
      <c r="A222" t="s">
        <v>800</v>
      </c>
      <c r="B222">
        <v>2017</v>
      </c>
      <c r="C222" s="8">
        <v>111</v>
      </c>
      <c r="D222" s="8">
        <f t="shared" si="9"/>
        <v>6660</v>
      </c>
      <c r="E222" t="s">
        <v>28</v>
      </c>
      <c r="F222">
        <v>6.5</v>
      </c>
      <c r="G222" t="s">
        <v>667</v>
      </c>
      <c r="H222" s="11">
        <v>46030</v>
      </c>
      <c r="I222" s="6">
        <v>270000</v>
      </c>
      <c r="J222" s="9">
        <f t="shared" si="10"/>
        <v>2432.4324324324325</v>
      </c>
      <c r="K222" s="9">
        <f t="shared" si="11"/>
        <v>40.54054054054054</v>
      </c>
    </row>
    <row r="223" spans="1:11" x14ac:dyDescent="0.25">
      <c r="A223" t="s">
        <v>802</v>
      </c>
      <c r="B223">
        <v>2013</v>
      </c>
      <c r="C223" s="8">
        <v>104</v>
      </c>
      <c r="D223" s="8">
        <f t="shared" si="9"/>
        <v>6240</v>
      </c>
      <c r="E223" t="s">
        <v>14</v>
      </c>
      <c r="F223">
        <v>6.5</v>
      </c>
      <c r="G223" t="s">
        <v>258</v>
      </c>
      <c r="H223" s="11" t="s">
        <v>803</v>
      </c>
      <c r="I223" s="6">
        <v>27700000</v>
      </c>
      <c r="J223" s="9">
        <f t="shared" si="10"/>
        <v>266346.15384615387</v>
      </c>
      <c r="K223" s="9">
        <f t="shared" si="11"/>
        <v>4439.1025641025644</v>
      </c>
    </row>
    <row r="224" spans="1:11" x14ac:dyDescent="0.25">
      <c r="A224" t="s">
        <v>805</v>
      </c>
      <c r="B224">
        <v>1981</v>
      </c>
      <c r="C224" s="8">
        <v>91</v>
      </c>
      <c r="D224" s="8">
        <f t="shared" si="9"/>
        <v>5460</v>
      </c>
      <c r="E224" t="s">
        <v>30</v>
      </c>
      <c r="F224">
        <v>6.5</v>
      </c>
      <c r="G224" t="s">
        <v>277</v>
      </c>
      <c r="H224" s="11">
        <v>38157</v>
      </c>
      <c r="I224" s="6">
        <v>17990000</v>
      </c>
      <c r="J224" s="9">
        <f t="shared" si="10"/>
        <v>197692.30769230769</v>
      </c>
      <c r="K224" s="9">
        <f t="shared" si="11"/>
        <v>3294.8717948717949</v>
      </c>
    </row>
    <row r="225" spans="1:11" x14ac:dyDescent="0.25">
      <c r="A225" t="s">
        <v>807</v>
      </c>
      <c r="B225">
        <v>2017</v>
      </c>
      <c r="C225" s="8">
        <v>109</v>
      </c>
      <c r="D225" s="8">
        <f t="shared" si="9"/>
        <v>6540</v>
      </c>
      <c r="E225" t="s">
        <v>14</v>
      </c>
      <c r="F225">
        <v>6.5</v>
      </c>
      <c r="G225" t="s">
        <v>808</v>
      </c>
      <c r="H225" s="11" t="s">
        <v>809</v>
      </c>
      <c r="I225" s="6">
        <v>102090000</v>
      </c>
      <c r="J225" s="9">
        <f t="shared" si="10"/>
        <v>936605.504587156</v>
      </c>
      <c r="K225" s="9">
        <f t="shared" si="11"/>
        <v>15610.091743119267</v>
      </c>
    </row>
    <row r="226" spans="1:11" x14ac:dyDescent="0.25">
      <c r="A226" t="s">
        <v>811</v>
      </c>
      <c r="B226">
        <v>2015</v>
      </c>
      <c r="C226" s="8">
        <v>119</v>
      </c>
      <c r="D226" s="8">
        <f t="shared" si="9"/>
        <v>7140</v>
      </c>
      <c r="E226" t="s">
        <v>42</v>
      </c>
      <c r="F226">
        <v>6.5</v>
      </c>
      <c r="G226" t="s">
        <v>236</v>
      </c>
      <c r="H226" s="11" t="s">
        <v>812</v>
      </c>
      <c r="I226" s="6">
        <v>31090000</v>
      </c>
      <c r="J226" s="9">
        <f t="shared" si="10"/>
        <v>261260.50420168068</v>
      </c>
      <c r="K226" s="9">
        <f t="shared" si="11"/>
        <v>4354.3417366946778</v>
      </c>
    </row>
    <row r="227" spans="1:11" x14ac:dyDescent="0.25">
      <c r="A227" t="s">
        <v>814</v>
      </c>
      <c r="B227">
        <v>2018</v>
      </c>
      <c r="C227" s="8">
        <v>106</v>
      </c>
      <c r="D227" s="8">
        <f t="shared" si="9"/>
        <v>6360</v>
      </c>
      <c r="E227" t="s">
        <v>369</v>
      </c>
      <c r="F227">
        <v>6.5</v>
      </c>
      <c r="G227" t="s">
        <v>815</v>
      </c>
      <c r="H227" s="11" t="s">
        <v>816</v>
      </c>
      <c r="I227" s="6">
        <v>159340000</v>
      </c>
      <c r="J227" s="9">
        <f t="shared" si="10"/>
        <v>1503207.5471698113</v>
      </c>
      <c r="K227" s="9">
        <f t="shared" si="11"/>
        <v>25053.459119496856</v>
      </c>
    </row>
    <row r="228" spans="1:11" x14ac:dyDescent="0.25">
      <c r="A228" t="s">
        <v>818</v>
      </c>
      <c r="B228">
        <v>1989</v>
      </c>
      <c r="C228" s="8">
        <v>103</v>
      </c>
      <c r="D228" s="8">
        <f t="shared" si="9"/>
        <v>6180</v>
      </c>
      <c r="E228" t="s">
        <v>819</v>
      </c>
      <c r="F228">
        <v>6.5</v>
      </c>
      <c r="G228" t="s">
        <v>820</v>
      </c>
      <c r="H228" s="11" t="s">
        <v>821</v>
      </c>
      <c r="I228" s="6">
        <v>57470000</v>
      </c>
      <c r="J228" s="9">
        <f t="shared" si="10"/>
        <v>557961.16504854371</v>
      </c>
      <c r="K228" s="9">
        <f t="shared" si="11"/>
        <v>9299.352750809061</v>
      </c>
    </row>
    <row r="229" spans="1:11" x14ac:dyDescent="0.25">
      <c r="A229" t="s">
        <v>823</v>
      </c>
      <c r="B229">
        <v>1990</v>
      </c>
      <c r="C229" s="8">
        <v>109</v>
      </c>
      <c r="D229" s="8">
        <f t="shared" si="9"/>
        <v>6540</v>
      </c>
      <c r="E229" t="s">
        <v>308</v>
      </c>
      <c r="F229">
        <v>6.5</v>
      </c>
      <c r="G229" t="s">
        <v>824</v>
      </c>
      <c r="H229" s="11">
        <v>72630</v>
      </c>
      <c r="I229" s="6">
        <v>53210000</v>
      </c>
      <c r="J229" s="9">
        <f t="shared" si="10"/>
        <v>488165.13761467888</v>
      </c>
      <c r="K229" s="9">
        <f t="shared" si="11"/>
        <v>8136.0856269113146</v>
      </c>
    </row>
    <row r="230" spans="1:11" x14ac:dyDescent="0.25">
      <c r="A230" t="s">
        <v>826</v>
      </c>
      <c r="B230">
        <v>2010</v>
      </c>
      <c r="C230" s="8">
        <v>101</v>
      </c>
      <c r="D230" s="8">
        <f t="shared" si="9"/>
        <v>6060</v>
      </c>
      <c r="E230" t="s">
        <v>72</v>
      </c>
      <c r="F230">
        <v>6.5</v>
      </c>
      <c r="G230" t="s">
        <v>827</v>
      </c>
      <c r="H230" s="11" t="s">
        <v>828</v>
      </c>
      <c r="I230" s="6">
        <v>39120000</v>
      </c>
      <c r="J230" s="9">
        <f t="shared" si="10"/>
        <v>387326.73267326731</v>
      </c>
      <c r="K230" s="9">
        <f t="shared" si="11"/>
        <v>6455.4455445544554</v>
      </c>
    </row>
    <row r="231" spans="1:11" x14ac:dyDescent="0.25">
      <c r="A231" t="s">
        <v>830</v>
      </c>
      <c r="B231">
        <v>2005</v>
      </c>
      <c r="C231" s="8">
        <v>104</v>
      </c>
      <c r="D231" s="8">
        <f t="shared" si="9"/>
        <v>6240</v>
      </c>
      <c r="E231" t="s">
        <v>42</v>
      </c>
      <c r="F231">
        <v>6.5</v>
      </c>
      <c r="G231" t="s">
        <v>831</v>
      </c>
      <c r="H231" s="11" t="s">
        <v>832</v>
      </c>
      <c r="I231" s="6">
        <v>47810000</v>
      </c>
      <c r="J231" s="9">
        <f t="shared" si="10"/>
        <v>459711.53846153844</v>
      </c>
      <c r="K231" s="9">
        <f t="shared" si="11"/>
        <v>7661.8589743589746</v>
      </c>
    </row>
    <row r="232" spans="1:11" x14ac:dyDescent="0.25">
      <c r="A232" t="s">
        <v>834</v>
      </c>
      <c r="B232">
        <v>2016</v>
      </c>
      <c r="C232" s="8">
        <v>89</v>
      </c>
      <c r="D232" s="8">
        <f t="shared" si="9"/>
        <v>5340</v>
      </c>
      <c r="E232" t="s">
        <v>308</v>
      </c>
      <c r="F232">
        <v>6.5</v>
      </c>
      <c r="G232" t="s">
        <v>835</v>
      </c>
      <c r="H232" s="11">
        <v>42119</v>
      </c>
      <c r="I232" s="6">
        <v>20000</v>
      </c>
      <c r="J232" s="9">
        <f t="shared" si="10"/>
        <v>224.71910112359549</v>
      </c>
      <c r="K232" s="9">
        <f t="shared" si="11"/>
        <v>3.7453183520599249</v>
      </c>
    </row>
    <row r="233" spans="1:11" x14ac:dyDescent="0.25">
      <c r="A233" t="s">
        <v>837</v>
      </c>
      <c r="B233">
        <v>1990</v>
      </c>
      <c r="C233" s="8">
        <v>110</v>
      </c>
      <c r="D233" s="8">
        <f t="shared" si="9"/>
        <v>6600</v>
      </c>
      <c r="E233" t="s">
        <v>42</v>
      </c>
      <c r="F233">
        <v>6.5</v>
      </c>
      <c r="G233" t="s">
        <v>838</v>
      </c>
      <c r="H233" s="11">
        <v>34521</v>
      </c>
      <c r="I233" s="6">
        <v>26100000</v>
      </c>
      <c r="J233" s="9">
        <f t="shared" si="10"/>
        <v>237272.72727272726</v>
      </c>
      <c r="K233" s="9">
        <f t="shared" si="11"/>
        <v>3954.5454545454545</v>
      </c>
    </row>
    <row r="234" spans="1:11" x14ac:dyDescent="0.25">
      <c r="A234" t="s">
        <v>840</v>
      </c>
      <c r="B234">
        <v>1987</v>
      </c>
      <c r="C234" s="8">
        <v>118</v>
      </c>
      <c r="D234" s="8">
        <f t="shared" si="9"/>
        <v>7080</v>
      </c>
      <c r="E234" t="s">
        <v>187</v>
      </c>
      <c r="F234">
        <v>6.5</v>
      </c>
      <c r="G234" t="s">
        <v>841</v>
      </c>
      <c r="H234" s="11">
        <v>73547</v>
      </c>
      <c r="I234" s="6">
        <v>63770000</v>
      </c>
      <c r="J234" s="9">
        <f t="shared" si="10"/>
        <v>540423.72881355928</v>
      </c>
      <c r="K234" s="9">
        <f t="shared" si="11"/>
        <v>9007.0621468926547</v>
      </c>
    </row>
    <row r="235" spans="1:11" x14ac:dyDescent="0.25">
      <c r="A235" t="s">
        <v>843</v>
      </c>
      <c r="B235">
        <v>1981</v>
      </c>
      <c r="C235" s="8">
        <v>92</v>
      </c>
      <c r="D235" s="8">
        <f t="shared" si="9"/>
        <v>5520</v>
      </c>
      <c r="E235" t="s">
        <v>30</v>
      </c>
      <c r="F235">
        <v>6.5</v>
      </c>
      <c r="G235" t="s">
        <v>844</v>
      </c>
      <c r="H235" s="11">
        <v>96004</v>
      </c>
      <c r="I235" s="6">
        <v>25530000</v>
      </c>
      <c r="J235" s="9">
        <f t="shared" si="10"/>
        <v>277500</v>
      </c>
      <c r="K235" s="9">
        <f t="shared" si="11"/>
        <v>4625</v>
      </c>
    </row>
    <row r="236" spans="1:11" x14ac:dyDescent="0.25">
      <c r="A236" t="s">
        <v>846</v>
      </c>
      <c r="B236">
        <v>1990</v>
      </c>
      <c r="C236" s="8">
        <v>115</v>
      </c>
      <c r="D236" s="8">
        <f t="shared" si="9"/>
        <v>6900</v>
      </c>
      <c r="E236" t="s">
        <v>83</v>
      </c>
      <c r="F236">
        <v>6.5</v>
      </c>
      <c r="G236" t="s">
        <v>313</v>
      </c>
      <c r="H236" s="11">
        <v>90146</v>
      </c>
      <c r="I236" s="6">
        <v>61490000</v>
      </c>
      <c r="J236" s="9">
        <f t="shared" si="10"/>
        <v>534695.65217391308</v>
      </c>
      <c r="K236" s="9">
        <f t="shared" si="11"/>
        <v>8911.5942028985501</v>
      </c>
    </row>
    <row r="237" spans="1:11" x14ac:dyDescent="0.25">
      <c r="A237" t="s">
        <v>849</v>
      </c>
      <c r="B237">
        <v>2012</v>
      </c>
      <c r="C237" s="8">
        <v>118</v>
      </c>
      <c r="D237" s="8">
        <f t="shared" si="9"/>
        <v>7080</v>
      </c>
      <c r="E237" t="s">
        <v>28</v>
      </c>
      <c r="F237">
        <v>6.5</v>
      </c>
      <c r="G237" t="s">
        <v>158</v>
      </c>
      <c r="H237" s="11">
        <v>44832</v>
      </c>
      <c r="I237" s="6">
        <v>80000</v>
      </c>
      <c r="J237" s="9">
        <f t="shared" si="10"/>
        <v>677.96610169491521</v>
      </c>
      <c r="K237" s="9">
        <f t="shared" si="11"/>
        <v>11.299435028248588</v>
      </c>
    </row>
    <row r="238" spans="1:11" x14ac:dyDescent="0.25">
      <c r="A238" t="s">
        <v>850</v>
      </c>
      <c r="B238">
        <v>2009</v>
      </c>
      <c r="C238" s="8">
        <v>85</v>
      </c>
      <c r="D238" s="8">
        <f t="shared" si="9"/>
        <v>5100</v>
      </c>
      <c r="E238" t="s">
        <v>72</v>
      </c>
      <c r="F238">
        <v>6.5</v>
      </c>
      <c r="G238" t="s">
        <v>230</v>
      </c>
      <c r="H238" s="11">
        <v>75857</v>
      </c>
      <c r="I238" s="6">
        <v>30000</v>
      </c>
      <c r="J238" s="9">
        <f t="shared" si="10"/>
        <v>352.94117647058823</v>
      </c>
      <c r="K238" s="9">
        <f t="shared" si="11"/>
        <v>5.882352941176471</v>
      </c>
    </row>
    <row r="239" spans="1:11" x14ac:dyDescent="0.25">
      <c r="A239" t="s">
        <v>851</v>
      </c>
      <c r="B239">
        <v>2012</v>
      </c>
      <c r="C239" s="8">
        <v>88</v>
      </c>
      <c r="D239" s="8">
        <f t="shared" si="9"/>
        <v>5280</v>
      </c>
      <c r="E239" t="s">
        <v>852</v>
      </c>
      <c r="F239">
        <v>6.5</v>
      </c>
      <c r="G239" t="s">
        <v>853</v>
      </c>
      <c r="H239" s="11">
        <v>29544</v>
      </c>
      <c r="I239" s="6">
        <v>40000</v>
      </c>
      <c r="J239" s="9">
        <f t="shared" si="10"/>
        <v>454.54545454545456</v>
      </c>
      <c r="K239" s="9">
        <f t="shared" si="11"/>
        <v>7.5757575757575761</v>
      </c>
    </row>
    <row r="240" spans="1:11" x14ac:dyDescent="0.25">
      <c r="A240" t="s">
        <v>854</v>
      </c>
      <c r="B240">
        <v>2022</v>
      </c>
      <c r="C240" s="8">
        <v>102</v>
      </c>
      <c r="D240" s="8">
        <f t="shared" si="9"/>
        <v>6120</v>
      </c>
      <c r="E240" t="s">
        <v>344</v>
      </c>
      <c r="F240">
        <v>6.4</v>
      </c>
      <c r="G240" t="s">
        <v>678</v>
      </c>
      <c r="H240" s="11" t="s">
        <v>855</v>
      </c>
      <c r="I240" s="6">
        <v>93880000</v>
      </c>
      <c r="J240" s="9">
        <f t="shared" si="10"/>
        <v>920392.15686274506</v>
      </c>
      <c r="K240" s="9">
        <f t="shared" si="11"/>
        <v>15339.869281045752</v>
      </c>
    </row>
    <row r="241" spans="1:11" x14ac:dyDescent="0.25">
      <c r="A241" t="s">
        <v>857</v>
      </c>
      <c r="B241">
        <v>2017</v>
      </c>
      <c r="C241" s="8">
        <v>122</v>
      </c>
      <c r="D241" s="8">
        <f t="shared" si="9"/>
        <v>7320</v>
      </c>
      <c r="E241" t="s">
        <v>344</v>
      </c>
      <c r="F241">
        <v>6.4</v>
      </c>
      <c r="G241" t="s">
        <v>10</v>
      </c>
      <c r="H241" s="11" t="s">
        <v>858</v>
      </c>
      <c r="I241" s="6">
        <v>74260000</v>
      </c>
      <c r="J241" s="9">
        <f t="shared" si="10"/>
        <v>608688.52459016396</v>
      </c>
      <c r="K241" s="9">
        <f t="shared" si="11"/>
        <v>10144.808743169398</v>
      </c>
    </row>
    <row r="242" spans="1:11" x14ac:dyDescent="0.25">
      <c r="A242" t="s">
        <v>860</v>
      </c>
      <c r="B242">
        <v>2019</v>
      </c>
      <c r="C242" s="8">
        <v>99</v>
      </c>
      <c r="D242" s="8">
        <f t="shared" si="9"/>
        <v>5940</v>
      </c>
      <c r="E242" t="s">
        <v>62</v>
      </c>
      <c r="F242">
        <v>6.4</v>
      </c>
      <c r="G242" t="s">
        <v>861</v>
      </c>
      <c r="H242" s="11" t="s">
        <v>862</v>
      </c>
      <c r="I242" s="6">
        <v>57010000</v>
      </c>
      <c r="J242" s="9">
        <f t="shared" si="10"/>
        <v>575858.5858585859</v>
      </c>
      <c r="K242" s="9">
        <f t="shared" si="11"/>
        <v>9597.6430976430984</v>
      </c>
    </row>
    <row r="243" spans="1:11" x14ac:dyDescent="0.25">
      <c r="A243" t="s">
        <v>864</v>
      </c>
      <c r="B243">
        <v>1980</v>
      </c>
      <c r="C243" s="8">
        <v>95</v>
      </c>
      <c r="D243" s="8">
        <f t="shared" si="9"/>
        <v>5700</v>
      </c>
      <c r="E243" t="s">
        <v>14</v>
      </c>
      <c r="F243">
        <v>6.4</v>
      </c>
      <c r="G243" t="s">
        <v>865</v>
      </c>
      <c r="H243" s="11" t="s">
        <v>866</v>
      </c>
      <c r="I243" s="6">
        <v>39750000</v>
      </c>
      <c r="J243" s="9">
        <f t="shared" si="10"/>
        <v>418421.05263157893</v>
      </c>
      <c r="K243" s="9">
        <f t="shared" si="11"/>
        <v>6973.6842105263158</v>
      </c>
    </row>
    <row r="244" spans="1:11" x14ac:dyDescent="0.25">
      <c r="A244" t="s">
        <v>868</v>
      </c>
      <c r="B244">
        <v>1996</v>
      </c>
      <c r="C244" s="8">
        <v>101</v>
      </c>
      <c r="D244" s="8">
        <f t="shared" si="9"/>
        <v>6060</v>
      </c>
      <c r="E244" t="s">
        <v>28</v>
      </c>
      <c r="F244">
        <v>6.4</v>
      </c>
      <c r="G244" t="s">
        <v>869</v>
      </c>
      <c r="H244" s="11">
        <v>99986</v>
      </c>
      <c r="I244" s="6">
        <v>24880000</v>
      </c>
      <c r="J244" s="9">
        <f t="shared" si="10"/>
        <v>246336.63366336634</v>
      </c>
      <c r="K244" s="9">
        <f t="shared" si="11"/>
        <v>4105.6105610561053</v>
      </c>
    </row>
    <row r="245" spans="1:11" x14ac:dyDescent="0.25">
      <c r="A245" t="s">
        <v>871</v>
      </c>
      <c r="B245">
        <v>2006</v>
      </c>
      <c r="C245" s="8">
        <v>107</v>
      </c>
      <c r="D245" s="8">
        <f t="shared" si="9"/>
        <v>6420</v>
      </c>
      <c r="E245" t="s">
        <v>72</v>
      </c>
      <c r="F245">
        <v>6.4</v>
      </c>
      <c r="G245" t="s">
        <v>639</v>
      </c>
      <c r="H245" s="11" t="s">
        <v>872</v>
      </c>
      <c r="I245" s="6">
        <v>41780000</v>
      </c>
      <c r="J245" s="9">
        <f t="shared" si="10"/>
        <v>390467.28971962619</v>
      </c>
      <c r="K245" s="9">
        <f t="shared" si="11"/>
        <v>6507.7881619937698</v>
      </c>
    </row>
    <row r="246" spans="1:11" x14ac:dyDescent="0.25">
      <c r="A246" t="s">
        <v>874</v>
      </c>
      <c r="B246">
        <v>1992</v>
      </c>
      <c r="C246" s="8">
        <v>114</v>
      </c>
      <c r="D246" s="8">
        <f t="shared" si="9"/>
        <v>6840</v>
      </c>
      <c r="E246" t="s">
        <v>325</v>
      </c>
      <c r="F246">
        <v>6.4</v>
      </c>
      <c r="G246" t="s">
        <v>875</v>
      </c>
      <c r="H246" s="11" t="s">
        <v>876</v>
      </c>
      <c r="I246" s="6">
        <v>55470000</v>
      </c>
      <c r="J246" s="9">
        <f t="shared" si="10"/>
        <v>486578.94736842107</v>
      </c>
      <c r="K246" s="9">
        <f t="shared" si="11"/>
        <v>8109.6491228070172</v>
      </c>
    </row>
    <row r="247" spans="1:11" x14ac:dyDescent="0.25">
      <c r="A247" t="s">
        <v>878</v>
      </c>
      <c r="B247">
        <v>2016</v>
      </c>
      <c r="C247" s="8">
        <v>146</v>
      </c>
      <c r="D247" s="8">
        <f t="shared" si="9"/>
        <v>8760</v>
      </c>
      <c r="E247" t="s">
        <v>28</v>
      </c>
      <c r="F247">
        <v>6.4</v>
      </c>
      <c r="G247" t="s">
        <v>361</v>
      </c>
      <c r="H247" s="11" t="s">
        <v>879</v>
      </c>
      <c r="I247" s="6">
        <v>8110000</v>
      </c>
      <c r="J247" s="9">
        <f t="shared" si="10"/>
        <v>55547.945205479453</v>
      </c>
      <c r="K247" s="9">
        <f t="shared" si="11"/>
        <v>925.79908675799084</v>
      </c>
    </row>
    <row r="248" spans="1:11" x14ac:dyDescent="0.25">
      <c r="A248" t="s">
        <v>881</v>
      </c>
      <c r="B248">
        <v>2000</v>
      </c>
      <c r="C248" s="8">
        <v>107</v>
      </c>
      <c r="D248" s="8">
        <f t="shared" si="9"/>
        <v>6420</v>
      </c>
      <c r="E248" t="s">
        <v>882</v>
      </c>
      <c r="F248">
        <v>6.4</v>
      </c>
      <c r="G248" t="s">
        <v>883</v>
      </c>
      <c r="H248" s="11" t="s">
        <v>884</v>
      </c>
      <c r="I248" s="6">
        <v>61330000</v>
      </c>
      <c r="J248" s="9">
        <f t="shared" si="10"/>
        <v>573177.57009345794</v>
      </c>
      <c r="K248" s="9">
        <f t="shared" si="11"/>
        <v>9552.9595015576324</v>
      </c>
    </row>
    <row r="249" spans="1:11" x14ac:dyDescent="0.25">
      <c r="A249" t="s">
        <v>886</v>
      </c>
      <c r="B249">
        <v>2017</v>
      </c>
      <c r="C249" s="8">
        <v>108</v>
      </c>
      <c r="D249" s="8">
        <f t="shared" si="9"/>
        <v>6480</v>
      </c>
      <c r="E249" t="s">
        <v>329</v>
      </c>
      <c r="F249">
        <v>6.4</v>
      </c>
      <c r="G249" t="s">
        <v>887</v>
      </c>
      <c r="H249" s="11">
        <v>45825</v>
      </c>
      <c r="I249" s="6">
        <v>100000</v>
      </c>
      <c r="J249" s="9">
        <f t="shared" si="10"/>
        <v>925.92592592592598</v>
      </c>
      <c r="K249" s="9">
        <f t="shared" si="11"/>
        <v>15.432098765432098</v>
      </c>
    </row>
    <row r="250" spans="1:11" x14ac:dyDescent="0.25">
      <c r="A250" t="s">
        <v>457</v>
      </c>
      <c r="B250">
        <v>2011</v>
      </c>
      <c r="C250" s="8">
        <v>106</v>
      </c>
      <c r="D250" s="8">
        <f t="shared" si="9"/>
        <v>6360</v>
      </c>
      <c r="E250" t="s">
        <v>44</v>
      </c>
      <c r="F250">
        <v>6.4</v>
      </c>
      <c r="G250" t="s">
        <v>889</v>
      </c>
      <c r="H250" s="11" t="s">
        <v>890</v>
      </c>
      <c r="I250" s="6">
        <v>18300000</v>
      </c>
      <c r="J250" s="9">
        <f t="shared" si="10"/>
        <v>172641.50943396226</v>
      </c>
      <c r="K250" s="9">
        <f t="shared" si="11"/>
        <v>2877.3584905660377</v>
      </c>
    </row>
    <row r="251" spans="1:11" x14ac:dyDescent="0.25">
      <c r="A251" t="s">
        <v>892</v>
      </c>
      <c r="B251">
        <v>1983</v>
      </c>
      <c r="C251" s="8">
        <v>101</v>
      </c>
      <c r="D251" s="8">
        <f t="shared" si="9"/>
        <v>6060</v>
      </c>
      <c r="E251" t="s">
        <v>9</v>
      </c>
      <c r="F251">
        <v>6.4</v>
      </c>
      <c r="G251" t="s">
        <v>277</v>
      </c>
      <c r="H251" s="11">
        <v>39519</v>
      </c>
      <c r="I251" s="6">
        <v>29500000</v>
      </c>
      <c r="J251" s="9">
        <f t="shared" si="10"/>
        <v>292079.20792079211</v>
      </c>
      <c r="K251" s="9">
        <f t="shared" si="11"/>
        <v>4867.9867986798681</v>
      </c>
    </row>
    <row r="252" spans="1:11" x14ac:dyDescent="0.25">
      <c r="A252" t="s">
        <v>894</v>
      </c>
      <c r="B252">
        <v>2014</v>
      </c>
      <c r="C252" s="8">
        <v>103</v>
      </c>
      <c r="D252" s="8">
        <f t="shared" si="9"/>
        <v>6180</v>
      </c>
      <c r="E252" t="s">
        <v>325</v>
      </c>
      <c r="F252">
        <v>6.4</v>
      </c>
      <c r="G252" t="s">
        <v>895</v>
      </c>
      <c r="H252" s="11" t="s">
        <v>896</v>
      </c>
      <c r="I252" s="6">
        <v>71960000</v>
      </c>
      <c r="J252" s="9">
        <f t="shared" si="10"/>
        <v>698640.77669902914</v>
      </c>
      <c r="K252" s="9">
        <f t="shared" si="11"/>
        <v>11644.012944983819</v>
      </c>
    </row>
    <row r="253" spans="1:11" x14ac:dyDescent="0.25">
      <c r="A253" t="s">
        <v>898</v>
      </c>
      <c r="B253">
        <v>1990</v>
      </c>
      <c r="C253" s="8">
        <v>106</v>
      </c>
      <c r="D253" s="8">
        <f t="shared" si="9"/>
        <v>6360</v>
      </c>
      <c r="E253" t="s">
        <v>187</v>
      </c>
      <c r="F253">
        <v>6.4</v>
      </c>
      <c r="G253" t="s">
        <v>277</v>
      </c>
      <c r="H253" s="11" t="s">
        <v>899</v>
      </c>
      <c r="I253" s="6">
        <v>41480000</v>
      </c>
      <c r="J253" s="9">
        <f t="shared" si="10"/>
        <v>391320.75471698114</v>
      </c>
      <c r="K253" s="9">
        <f t="shared" si="11"/>
        <v>6522.0125786163526</v>
      </c>
    </row>
    <row r="254" spans="1:11" x14ac:dyDescent="0.25">
      <c r="A254" t="s">
        <v>901</v>
      </c>
      <c r="B254">
        <v>2010</v>
      </c>
      <c r="C254" s="8">
        <v>102</v>
      </c>
      <c r="D254" s="8">
        <f t="shared" si="9"/>
        <v>6120</v>
      </c>
      <c r="E254" t="s">
        <v>902</v>
      </c>
      <c r="F254">
        <v>6.4</v>
      </c>
      <c r="G254" t="s">
        <v>903</v>
      </c>
      <c r="H254" s="11">
        <v>49744</v>
      </c>
      <c r="I254" s="6">
        <v>20000</v>
      </c>
      <c r="J254" s="9">
        <f t="shared" si="10"/>
        <v>196.07843137254903</v>
      </c>
      <c r="K254" s="9">
        <f t="shared" si="11"/>
        <v>3.2679738562091503</v>
      </c>
    </row>
    <row r="255" spans="1:11" x14ac:dyDescent="0.25">
      <c r="A255" t="s">
        <v>904</v>
      </c>
      <c r="B255">
        <v>1991</v>
      </c>
      <c r="C255" s="8">
        <v>102</v>
      </c>
      <c r="D255" s="8">
        <f t="shared" si="9"/>
        <v>6120</v>
      </c>
      <c r="E255" t="s">
        <v>242</v>
      </c>
      <c r="F255">
        <v>6.4</v>
      </c>
      <c r="G255" t="s">
        <v>198</v>
      </c>
      <c r="H255" s="11">
        <v>37305</v>
      </c>
      <c r="I255" s="6">
        <v>24200000</v>
      </c>
      <c r="J255" s="9">
        <f t="shared" si="10"/>
        <v>237254.90196078431</v>
      </c>
      <c r="K255" s="9">
        <f t="shared" si="11"/>
        <v>3954.248366013072</v>
      </c>
    </row>
    <row r="256" spans="1:11" x14ac:dyDescent="0.25">
      <c r="A256" t="s">
        <v>906</v>
      </c>
      <c r="B256">
        <v>2013</v>
      </c>
      <c r="C256" s="8">
        <v>120</v>
      </c>
      <c r="D256" s="8">
        <f t="shared" si="9"/>
        <v>7200</v>
      </c>
      <c r="E256" t="s">
        <v>907</v>
      </c>
      <c r="F256">
        <v>6.4</v>
      </c>
      <c r="G256" t="s">
        <v>639</v>
      </c>
      <c r="H256" s="11">
        <v>85762</v>
      </c>
      <c r="I256" s="6">
        <v>160000</v>
      </c>
      <c r="J256" s="9">
        <f t="shared" si="10"/>
        <v>1333.3333333333333</v>
      </c>
      <c r="K256" s="9">
        <f t="shared" si="11"/>
        <v>22.222222222222221</v>
      </c>
    </row>
    <row r="257" spans="1:11" x14ac:dyDescent="0.25">
      <c r="A257" t="s">
        <v>909</v>
      </c>
      <c r="B257">
        <v>1988</v>
      </c>
      <c r="C257" s="8">
        <v>98</v>
      </c>
      <c r="D257" s="8">
        <f t="shared" si="9"/>
        <v>5880</v>
      </c>
      <c r="E257" t="s">
        <v>48</v>
      </c>
      <c r="F257">
        <v>6.4</v>
      </c>
      <c r="G257" t="s">
        <v>198</v>
      </c>
      <c r="H257" s="11">
        <v>26707</v>
      </c>
      <c r="I257" s="6">
        <v>19600000</v>
      </c>
      <c r="J257" s="9">
        <f t="shared" si="10"/>
        <v>200000</v>
      </c>
      <c r="K257" s="9">
        <f t="shared" si="11"/>
        <v>3333.3333333333335</v>
      </c>
    </row>
    <row r="258" spans="1:11" x14ac:dyDescent="0.25">
      <c r="A258" t="s">
        <v>911</v>
      </c>
      <c r="B258">
        <v>2015</v>
      </c>
      <c r="C258" s="8">
        <v>134</v>
      </c>
      <c r="D258" s="8">
        <f t="shared" si="9"/>
        <v>8040</v>
      </c>
      <c r="E258" t="s">
        <v>28</v>
      </c>
      <c r="F258">
        <v>6.4</v>
      </c>
      <c r="G258" t="s">
        <v>912</v>
      </c>
      <c r="H258" s="11">
        <v>29867</v>
      </c>
      <c r="I258" s="6">
        <v>80000</v>
      </c>
      <c r="J258" s="9">
        <f t="shared" si="10"/>
        <v>597.01492537313436</v>
      </c>
      <c r="K258" s="9">
        <f t="shared" si="11"/>
        <v>9.9502487562189046</v>
      </c>
    </row>
    <row r="259" spans="1:11" x14ac:dyDescent="0.25">
      <c r="A259" t="s">
        <v>913</v>
      </c>
      <c r="B259">
        <v>2009</v>
      </c>
      <c r="C259" s="8">
        <v>98</v>
      </c>
      <c r="D259" s="8">
        <f t="shared" ref="D259:D322" si="12">C259*60</f>
        <v>5880</v>
      </c>
      <c r="E259" t="s">
        <v>325</v>
      </c>
      <c r="F259">
        <v>6.4</v>
      </c>
      <c r="G259" t="s">
        <v>914</v>
      </c>
      <c r="H259" s="11" t="s">
        <v>915</v>
      </c>
      <c r="I259" s="6">
        <v>30100000</v>
      </c>
      <c r="J259" s="9">
        <f t="shared" ref="J259:J322" si="13">I259/C259</f>
        <v>307142.85714285716</v>
      </c>
      <c r="K259" s="9">
        <f t="shared" ref="K259:K322" si="14">I259/D259</f>
        <v>5119.0476190476193</v>
      </c>
    </row>
    <row r="260" spans="1:11" x14ac:dyDescent="0.25">
      <c r="A260" t="s">
        <v>917</v>
      </c>
      <c r="B260">
        <v>2012</v>
      </c>
      <c r="C260" s="8">
        <v>95</v>
      </c>
      <c r="D260" s="8">
        <f t="shared" si="12"/>
        <v>5700</v>
      </c>
      <c r="E260" t="s">
        <v>28</v>
      </c>
      <c r="F260">
        <v>6.4</v>
      </c>
      <c r="G260" t="s">
        <v>611</v>
      </c>
      <c r="H260" s="11" t="s">
        <v>918</v>
      </c>
      <c r="I260" s="6">
        <v>54330000</v>
      </c>
      <c r="J260" s="9">
        <f t="shared" si="13"/>
        <v>571894.73684210528</v>
      </c>
      <c r="K260" s="9">
        <f t="shared" si="14"/>
        <v>9531.5789473684217</v>
      </c>
    </row>
    <row r="261" spans="1:11" x14ac:dyDescent="0.25">
      <c r="A261" t="s">
        <v>920</v>
      </c>
      <c r="B261">
        <v>1985</v>
      </c>
      <c r="C261" s="8">
        <v>95</v>
      </c>
      <c r="D261" s="8">
        <f t="shared" si="12"/>
        <v>5700</v>
      </c>
      <c r="E261" t="s">
        <v>30</v>
      </c>
      <c r="F261">
        <v>6.4</v>
      </c>
      <c r="G261" t="s">
        <v>921</v>
      </c>
      <c r="H261" s="11">
        <v>29605</v>
      </c>
      <c r="I261" s="6">
        <v>5400000</v>
      </c>
      <c r="J261" s="9">
        <f t="shared" si="13"/>
        <v>56842.105263157893</v>
      </c>
      <c r="K261" s="9">
        <f t="shared" si="14"/>
        <v>947.36842105263156</v>
      </c>
    </row>
    <row r="262" spans="1:11" x14ac:dyDescent="0.25">
      <c r="A262" t="s">
        <v>923</v>
      </c>
      <c r="B262">
        <v>2011</v>
      </c>
      <c r="C262" s="8">
        <v>95</v>
      </c>
      <c r="D262" s="8">
        <f t="shared" si="12"/>
        <v>5700</v>
      </c>
      <c r="E262" t="s">
        <v>67</v>
      </c>
      <c r="F262">
        <v>6.4</v>
      </c>
      <c r="G262" t="s">
        <v>853</v>
      </c>
      <c r="H262" s="11">
        <v>42875</v>
      </c>
      <c r="I262" s="6">
        <v>30000</v>
      </c>
      <c r="J262" s="9">
        <f t="shared" si="13"/>
        <v>315.78947368421052</v>
      </c>
      <c r="K262" s="9">
        <f t="shared" si="14"/>
        <v>5.2631578947368425</v>
      </c>
    </row>
    <row r="263" spans="1:11" x14ac:dyDescent="0.25">
      <c r="A263" t="s">
        <v>924</v>
      </c>
      <c r="B263">
        <v>1994</v>
      </c>
      <c r="C263" s="8">
        <v>112</v>
      </c>
      <c r="D263" s="8">
        <f t="shared" si="12"/>
        <v>6720</v>
      </c>
      <c r="E263" t="s">
        <v>284</v>
      </c>
      <c r="F263">
        <v>6.4</v>
      </c>
      <c r="G263" t="s">
        <v>198</v>
      </c>
      <c r="H263" s="11">
        <v>61174</v>
      </c>
      <c r="I263" s="6">
        <v>18090000</v>
      </c>
      <c r="J263" s="9">
        <f t="shared" si="13"/>
        <v>161517.85714285713</v>
      </c>
      <c r="K263" s="9">
        <f t="shared" si="14"/>
        <v>2691.9642857142858</v>
      </c>
    </row>
    <row r="264" spans="1:11" x14ac:dyDescent="0.25">
      <c r="A264" t="s">
        <v>926</v>
      </c>
      <c r="B264">
        <v>2008</v>
      </c>
      <c r="C264" s="8">
        <v>98</v>
      </c>
      <c r="D264" s="8">
        <f t="shared" si="12"/>
        <v>5880</v>
      </c>
      <c r="E264" t="s">
        <v>927</v>
      </c>
      <c r="F264">
        <v>6.4</v>
      </c>
      <c r="G264" t="s">
        <v>738</v>
      </c>
      <c r="H264" s="11">
        <v>25810</v>
      </c>
      <c r="I264" s="6">
        <v>140000</v>
      </c>
      <c r="J264" s="9">
        <f t="shared" si="13"/>
        <v>1428.5714285714287</v>
      </c>
      <c r="K264" s="9">
        <f t="shared" si="14"/>
        <v>23.80952380952381</v>
      </c>
    </row>
    <row r="265" spans="1:11" x14ac:dyDescent="0.25">
      <c r="A265" t="s">
        <v>929</v>
      </c>
      <c r="B265">
        <v>2002</v>
      </c>
      <c r="C265" s="8">
        <v>119</v>
      </c>
      <c r="D265" s="8">
        <f t="shared" si="12"/>
        <v>7140</v>
      </c>
      <c r="E265" t="s">
        <v>42</v>
      </c>
      <c r="F265">
        <v>6.4</v>
      </c>
      <c r="G265" t="s">
        <v>930</v>
      </c>
      <c r="H265" s="11">
        <v>82494</v>
      </c>
      <c r="I265" s="6">
        <v>35750000</v>
      </c>
      <c r="J265" s="9">
        <f t="shared" si="13"/>
        <v>300420.16806722688</v>
      </c>
      <c r="K265" s="9">
        <f t="shared" si="14"/>
        <v>5007.0028011204486</v>
      </c>
    </row>
    <row r="266" spans="1:11" x14ac:dyDescent="0.25">
      <c r="A266" t="s">
        <v>932</v>
      </c>
      <c r="B266">
        <v>2001</v>
      </c>
      <c r="C266" s="8">
        <v>97</v>
      </c>
      <c r="D266" s="8">
        <f t="shared" si="12"/>
        <v>5820</v>
      </c>
      <c r="E266" t="s">
        <v>42</v>
      </c>
      <c r="F266">
        <v>6.4</v>
      </c>
      <c r="G266" t="s">
        <v>603</v>
      </c>
      <c r="H266" s="11">
        <v>60761</v>
      </c>
      <c r="I266" s="6">
        <v>380000</v>
      </c>
      <c r="J266" s="9">
        <f t="shared" si="13"/>
        <v>3917.5257731958764</v>
      </c>
      <c r="K266" s="9">
        <f t="shared" si="14"/>
        <v>65.292096219931267</v>
      </c>
    </row>
    <row r="267" spans="1:11" x14ac:dyDescent="0.25">
      <c r="A267" t="s">
        <v>934</v>
      </c>
      <c r="B267">
        <v>2018</v>
      </c>
      <c r="C267" s="8">
        <v>98</v>
      </c>
      <c r="D267" s="8">
        <f t="shared" si="12"/>
        <v>5880</v>
      </c>
      <c r="E267" t="s">
        <v>42</v>
      </c>
      <c r="F267">
        <v>6.4</v>
      </c>
      <c r="G267" t="s">
        <v>935</v>
      </c>
      <c r="H267" s="11">
        <v>48245</v>
      </c>
      <c r="I267" s="6">
        <v>7730000</v>
      </c>
      <c r="J267" s="9">
        <f t="shared" si="13"/>
        <v>78877.551020408166</v>
      </c>
      <c r="K267" s="9">
        <f t="shared" si="14"/>
        <v>1314.6258503401361</v>
      </c>
    </row>
    <row r="268" spans="1:11" x14ac:dyDescent="0.25">
      <c r="A268" t="s">
        <v>937</v>
      </c>
      <c r="B268">
        <v>1988</v>
      </c>
      <c r="C268" s="8">
        <v>97</v>
      </c>
      <c r="D268" s="8">
        <f t="shared" si="12"/>
        <v>5820</v>
      </c>
      <c r="E268" t="s">
        <v>72</v>
      </c>
      <c r="F268">
        <v>6.4</v>
      </c>
      <c r="G268" t="s">
        <v>938</v>
      </c>
      <c r="H268" s="11">
        <v>53253</v>
      </c>
      <c r="I268" s="6">
        <v>11090000</v>
      </c>
      <c r="J268" s="9">
        <f t="shared" si="13"/>
        <v>114329.89690721649</v>
      </c>
      <c r="K268" s="9">
        <f t="shared" si="14"/>
        <v>1905.4982817869416</v>
      </c>
    </row>
    <row r="269" spans="1:11" x14ac:dyDescent="0.25">
      <c r="A269" t="s">
        <v>940</v>
      </c>
      <c r="B269">
        <v>2017</v>
      </c>
      <c r="C269" s="8">
        <v>98</v>
      </c>
      <c r="D269" s="8">
        <f t="shared" si="12"/>
        <v>5880</v>
      </c>
      <c r="E269" t="s">
        <v>19</v>
      </c>
      <c r="F269">
        <v>6.4</v>
      </c>
      <c r="G269" t="s">
        <v>941</v>
      </c>
      <c r="H269" s="11">
        <v>35682</v>
      </c>
      <c r="I269" s="6">
        <v>140000</v>
      </c>
      <c r="J269" s="9">
        <f t="shared" si="13"/>
        <v>1428.5714285714287</v>
      </c>
      <c r="K269" s="9">
        <f t="shared" si="14"/>
        <v>23.80952380952381</v>
      </c>
    </row>
    <row r="270" spans="1:11" x14ac:dyDescent="0.25">
      <c r="A270" t="s">
        <v>942</v>
      </c>
      <c r="B270">
        <v>1995</v>
      </c>
      <c r="C270" s="8">
        <v>98</v>
      </c>
      <c r="D270" s="8">
        <f t="shared" si="12"/>
        <v>5880</v>
      </c>
      <c r="E270" t="s">
        <v>162</v>
      </c>
      <c r="F270">
        <v>6.4</v>
      </c>
      <c r="G270" t="s">
        <v>943</v>
      </c>
      <c r="H270" s="11">
        <v>32198</v>
      </c>
      <c r="I270" s="6">
        <v>16120000</v>
      </c>
      <c r="J270" s="9">
        <f t="shared" si="13"/>
        <v>164489.79591836734</v>
      </c>
      <c r="K270" s="9">
        <f t="shared" si="14"/>
        <v>2741.4965986394559</v>
      </c>
    </row>
    <row r="271" spans="1:11" x14ac:dyDescent="0.25">
      <c r="A271" t="s">
        <v>945</v>
      </c>
      <c r="B271">
        <v>2006</v>
      </c>
      <c r="C271" s="8">
        <v>96</v>
      </c>
      <c r="D271" s="8">
        <f t="shared" si="12"/>
        <v>5760</v>
      </c>
      <c r="E271" t="s">
        <v>44</v>
      </c>
      <c r="F271">
        <v>6.4</v>
      </c>
      <c r="G271" t="s">
        <v>903</v>
      </c>
      <c r="H271" s="11">
        <v>39807</v>
      </c>
      <c r="I271" s="6">
        <v>140000</v>
      </c>
      <c r="J271" s="9">
        <f t="shared" si="13"/>
        <v>1458.3333333333333</v>
      </c>
      <c r="K271" s="9">
        <f t="shared" si="14"/>
        <v>24.305555555555557</v>
      </c>
    </row>
    <row r="272" spans="1:11" x14ac:dyDescent="0.25">
      <c r="A272" t="s">
        <v>947</v>
      </c>
      <c r="B272">
        <v>2010</v>
      </c>
      <c r="C272" s="8">
        <v>98</v>
      </c>
      <c r="D272" s="8">
        <f t="shared" si="12"/>
        <v>5880</v>
      </c>
      <c r="E272" t="s">
        <v>83</v>
      </c>
      <c r="F272">
        <v>6.4</v>
      </c>
      <c r="G272" t="s">
        <v>948</v>
      </c>
      <c r="H272" s="11">
        <v>43421</v>
      </c>
      <c r="I272" s="6">
        <v>20000</v>
      </c>
      <c r="J272" s="9">
        <f t="shared" si="13"/>
        <v>204.08163265306123</v>
      </c>
      <c r="K272" s="9">
        <f t="shared" si="14"/>
        <v>3.4013605442176869</v>
      </c>
    </row>
    <row r="273" spans="1:11" x14ac:dyDescent="0.25">
      <c r="A273" t="s">
        <v>949</v>
      </c>
      <c r="B273">
        <v>2004</v>
      </c>
      <c r="C273" s="8">
        <v>114</v>
      </c>
      <c r="D273" s="8">
        <f t="shared" si="12"/>
        <v>6840</v>
      </c>
      <c r="E273" t="s">
        <v>438</v>
      </c>
      <c r="F273">
        <v>6.4</v>
      </c>
      <c r="G273" t="s">
        <v>950</v>
      </c>
      <c r="H273" s="11">
        <v>54703</v>
      </c>
      <c r="I273" s="6">
        <v>1490000</v>
      </c>
      <c r="J273" s="9">
        <f t="shared" si="13"/>
        <v>13070.17543859649</v>
      </c>
      <c r="K273" s="9">
        <f t="shared" si="14"/>
        <v>217.83625730994152</v>
      </c>
    </row>
    <row r="274" spans="1:11" x14ac:dyDescent="0.25">
      <c r="A274" t="s">
        <v>952</v>
      </c>
      <c r="B274">
        <v>2006</v>
      </c>
      <c r="C274" s="8">
        <v>132</v>
      </c>
      <c r="D274" s="8">
        <f t="shared" si="12"/>
        <v>7920</v>
      </c>
      <c r="E274" t="s">
        <v>438</v>
      </c>
      <c r="F274">
        <v>6.4</v>
      </c>
      <c r="G274" t="s">
        <v>950</v>
      </c>
      <c r="H274" s="11">
        <v>34927</v>
      </c>
      <c r="I274" s="6">
        <v>450000</v>
      </c>
      <c r="J274" s="9">
        <f t="shared" si="13"/>
        <v>3409.090909090909</v>
      </c>
      <c r="K274" s="9">
        <f t="shared" si="14"/>
        <v>56.81818181818182</v>
      </c>
    </row>
    <row r="275" spans="1:11" x14ac:dyDescent="0.25">
      <c r="A275" t="s">
        <v>954</v>
      </c>
      <c r="B275">
        <v>2022</v>
      </c>
      <c r="C275" s="8">
        <v>114</v>
      </c>
      <c r="D275" s="8">
        <f t="shared" si="12"/>
        <v>6840</v>
      </c>
      <c r="E275" t="s">
        <v>14</v>
      </c>
      <c r="F275">
        <v>6.3</v>
      </c>
      <c r="G275" t="s">
        <v>540</v>
      </c>
      <c r="H275" s="11" t="s">
        <v>955</v>
      </c>
      <c r="I275" s="6">
        <v>81640000</v>
      </c>
      <c r="J275" s="9">
        <f t="shared" si="13"/>
        <v>716140.35087719304</v>
      </c>
      <c r="K275" s="9">
        <f t="shared" si="14"/>
        <v>11935.672514619882</v>
      </c>
    </row>
    <row r="276" spans="1:11" x14ac:dyDescent="0.25">
      <c r="A276" t="s">
        <v>957</v>
      </c>
      <c r="B276">
        <v>2013</v>
      </c>
      <c r="C276" s="8">
        <v>108</v>
      </c>
      <c r="D276" s="8">
        <f t="shared" si="12"/>
        <v>6480</v>
      </c>
      <c r="E276" t="s">
        <v>42</v>
      </c>
      <c r="F276">
        <v>6.3</v>
      </c>
      <c r="G276" t="s">
        <v>958</v>
      </c>
      <c r="H276" s="11" t="s">
        <v>959</v>
      </c>
      <c r="I276" s="6">
        <v>2610000</v>
      </c>
      <c r="J276" s="9">
        <f t="shared" si="13"/>
        <v>24166.666666666668</v>
      </c>
      <c r="K276" s="9">
        <f t="shared" si="14"/>
        <v>402.77777777777777</v>
      </c>
    </row>
    <row r="277" spans="1:11" x14ac:dyDescent="0.25">
      <c r="A277" t="s">
        <v>961</v>
      </c>
      <c r="B277">
        <v>1997</v>
      </c>
      <c r="C277" s="8">
        <v>120</v>
      </c>
      <c r="D277" s="8">
        <f t="shared" si="12"/>
        <v>7200</v>
      </c>
      <c r="E277" t="s">
        <v>178</v>
      </c>
      <c r="F277">
        <v>6.3</v>
      </c>
      <c r="G277" t="s">
        <v>198</v>
      </c>
      <c r="H277" s="11" t="s">
        <v>962</v>
      </c>
      <c r="I277" s="6">
        <v>101360000</v>
      </c>
      <c r="J277" s="9">
        <f t="shared" si="13"/>
        <v>844666.66666666663</v>
      </c>
      <c r="K277" s="9">
        <f t="shared" si="14"/>
        <v>14077.777777777777</v>
      </c>
    </row>
    <row r="278" spans="1:11" x14ac:dyDescent="0.25">
      <c r="A278" t="s">
        <v>964</v>
      </c>
      <c r="B278">
        <v>2016</v>
      </c>
      <c r="C278" s="8">
        <v>81</v>
      </c>
      <c r="D278" s="8">
        <f t="shared" si="12"/>
        <v>4860</v>
      </c>
      <c r="E278" t="s">
        <v>178</v>
      </c>
      <c r="F278">
        <v>6.3</v>
      </c>
      <c r="G278" t="s">
        <v>808</v>
      </c>
      <c r="H278" s="11" t="s">
        <v>965</v>
      </c>
      <c r="I278" s="6">
        <v>67270000</v>
      </c>
      <c r="J278" s="9">
        <f t="shared" si="13"/>
        <v>830493.82716049382</v>
      </c>
      <c r="K278" s="9">
        <f t="shared" si="14"/>
        <v>13841.56378600823</v>
      </c>
    </row>
    <row r="279" spans="1:11" x14ac:dyDescent="0.25">
      <c r="A279" t="s">
        <v>967</v>
      </c>
      <c r="B279">
        <v>2021</v>
      </c>
      <c r="C279" s="8">
        <v>112</v>
      </c>
      <c r="D279" s="8">
        <f t="shared" si="12"/>
        <v>6720</v>
      </c>
      <c r="E279" t="s">
        <v>14</v>
      </c>
      <c r="F279">
        <v>6.3</v>
      </c>
      <c r="G279" t="s">
        <v>968</v>
      </c>
      <c r="H279" s="11" t="s">
        <v>969</v>
      </c>
      <c r="I279" s="6">
        <v>65630000</v>
      </c>
      <c r="J279" s="9">
        <f t="shared" si="13"/>
        <v>585982.14285714284</v>
      </c>
      <c r="K279" s="9">
        <f t="shared" si="14"/>
        <v>9766.3690476190477</v>
      </c>
    </row>
    <row r="280" spans="1:11" x14ac:dyDescent="0.25">
      <c r="A280" t="s">
        <v>971</v>
      </c>
      <c r="B280">
        <v>2015</v>
      </c>
      <c r="C280" s="8">
        <v>93</v>
      </c>
      <c r="D280" s="8">
        <f t="shared" si="12"/>
        <v>5580</v>
      </c>
      <c r="E280" t="s">
        <v>116</v>
      </c>
      <c r="F280">
        <v>6.3</v>
      </c>
      <c r="G280" t="s">
        <v>728</v>
      </c>
      <c r="H280" s="11">
        <v>52616</v>
      </c>
      <c r="I280" s="6">
        <v>3640000</v>
      </c>
      <c r="J280" s="9">
        <f t="shared" si="13"/>
        <v>39139.784946236556</v>
      </c>
      <c r="K280" s="9">
        <f t="shared" si="14"/>
        <v>652.32974910394262</v>
      </c>
    </row>
    <row r="281" spans="1:11" x14ac:dyDescent="0.25">
      <c r="A281" t="s">
        <v>973</v>
      </c>
      <c r="B281">
        <v>2016</v>
      </c>
      <c r="C281" s="8">
        <v>86</v>
      </c>
      <c r="D281" s="8">
        <f t="shared" si="12"/>
        <v>5160</v>
      </c>
      <c r="E281" t="s">
        <v>329</v>
      </c>
      <c r="F281">
        <v>6.3</v>
      </c>
      <c r="G281" t="s">
        <v>419</v>
      </c>
      <c r="H281" s="11" t="s">
        <v>974</v>
      </c>
      <c r="I281" s="6">
        <v>55120000</v>
      </c>
      <c r="J281" s="9">
        <f t="shared" si="13"/>
        <v>640930.23255813948</v>
      </c>
      <c r="K281" s="9">
        <f t="shared" si="14"/>
        <v>10682.170542635658</v>
      </c>
    </row>
    <row r="282" spans="1:11" x14ac:dyDescent="0.25">
      <c r="A282" t="s">
        <v>976</v>
      </c>
      <c r="B282">
        <v>2007</v>
      </c>
      <c r="C282" s="8">
        <v>86</v>
      </c>
      <c r="D282" s="8">
        <f t="shared" si="12"/>
        <v>5160</v>
      </c>
      <c r="E282" t="s">
        <v>178</v>
      </c>
      <c r="F282">
        <v>6.3</v>
      </c>
      <c r="G282" t="s">
        <v>977</v>
      </c>
      <c r="H282" s="11" t="s">
        <v>978</v>
      </c>
      <c r="I282" s="6">
        <v>107920000</v>
      </c>
      <c r="J282" s="9">
        <f t="shared" si="13"/>
        <v>1254883.7209302327</v>
      </c>
      <c r="K282" s="9">
        <f t="shared" si="14"/>
        <v>20914.728682170542</v>
      </c>
    </row>
    <row r="283" spans="1:11" x14ac:dyDescent="0.25">
      <c r="A283" t="s">
        <v>980</v>
      </c>
      <c r="B283">
        <v>2010</v>
      </c>
      <c r="C283" s="8">
        <v>80</v>
      </c>
      <c r="D283" s="8">
        <f t="shared" si="12"/>
        <v>4800</v>
      </c>
      <c r="E283" t="s">
        <v>14</v>
      </c>
      <c r="F283">
        <v>6.3</v>
      </c>
      <c r="G283" t="s">
        <v>981</v>
      </c>
      <c r="H283" s="11" t="s">
        <v>982</v>
      </c>
      <c r="I283" s="6">
        <v>33580000</v>
      </c>
      <c r="J283" s="9">
        <f t="shared" si="13"/>
        <v>419750</v>
      </c>
      <c r="K283" s="9">
        <f t="shared" si="14"/>
        <v>6995.833333333333</v>
      </c>
    </row>
    <row r="284" spans="1:11" x14ac:dyDescent="0.25">
      <c r="A284" t="s">
        <v>984</v>
      </c>
      <c r="B284">
        <v>2015</v>
      </c>
      <c r="C284" s="8">
        <v>103</v>
      </c>
      <c r="D284" s="8">
        <f t="shared" si="12"/>
        <v>6180</v>
      </c>
      <c r="E284" t="s">
        <v>985</v>
      </c>
      <c r="F284">
        <v>6.3</v>
      </c>
      <c r="G284" t="s">
        <v>986</v>
      </c>
      <c r="H284" s="11">
        <v>91906</v>
      </c>
      <c r="I284" s="6">
        <v>80080000</v>
      </c>
      <c r="J284" s="9">
        <f t="shared" si="13"/>
        <v>777475.72815533984</v>
      </c>
      <c r="K284" s="9">
        <f t="shared" si="14"/>
        <v>12957.928802588996</v>
      </c>
    </row>
    <row r="285" spans="1:11" x14ac:dyDescent="0.25">
      <c r="A285" t="s">
        <v>988</v>
      </c>
      <c r="B285">
        <v>1990</v>
      </c>
      <c r="C285" s="8">
        <v>108</v>
      </c>
      <c r="D285" s="8">
        <f t="shared" si="12"/>
        <v>6480</v>
      </c>
      <c r="E285" t="s">
        <v>325</v>
      </c>
      <c r="F285">
        <v>6.3</v>
      </c>
      <c r="G285" t="s">
        <v>989</v>
      </c>
      <c r="H285" s="11" t="s">
        <v>990</v>
      </c>
      <c r="I285" s="6">
        <v>30670000</v>
      </c>
      <c r="J285" s="9">
        <f t="shared" si="13"/>
        <v>283981.48148148146</v>
      </c>
      <c r="K285" s="9">
        <f t="shared" si="14"/>
        <v>4733.0246913580249</v>
      </c>
    </row>
    <row r="286" spans="1:11" x14ac:dyDescent="0.25">
      <c r="A286" t="s">
        <v>992</v>
      </c>
      <c r="B286">
        <v>2009</v>
      </c>
      <c r="C286" s="8">
        <v>90</v>
      </c>
      <c r="D286" s="8">
        <f t="shared" si="12"/>
        <v>5400</v>
      </c>
      <c r="E286" t="s">
        <v>107</v>
      </c>
      <c r="F286">
        <v>6.3</v>
      </c>
      <c r="G286" t="s">
        <v>993</v>
      </c>
      <c r="H286" s="11">
        <v>68646</v>
      </c>
      <c r="I286" s="6">
        <v>7710000</v>
      </c>
      <c r="J286" s="9">
        <f t="shared" si="13"/>
        <v>85666.666666666672</v>
      </c>
      <c r="K286" s="9">
        <f t="shared" si="14"/>
        <v>1427.7777777777778</v>
      </c>
    </row>
    <row r="287" spans="1:11" x14ac:dyDescent="0.25">
      <c r="A287" t="s">
        <v>995</v>
      </c>
      <c r="B287">
        <v>2018</v>
      </c>
      <c r="C287" s="8">
        <v>97</v>
      </c>
      <c r="D287" s="8">
        <f t="shared" si="12"/>
        <v>5820</v>
      </c>
      <c r="E287" t="s">
        <v>446</v>
      </c>
      <c r="F287">
        <v>6.3</v>
      </c>
      <c r="G287" t="s">
        <v>447</v>
      </c>
      <c r="H287" s="11">
        <v>79162</v>
      </c>
      <c r="I287" s="6">
        <v>167510000</v>
      </c>
      <c r="J287" s="9">
        <f t="shared" si="13"/>
        <v>1726907.2164948455</v>
      </c>
      <c r="K287" s="9">
        <f t="shared" si="14"/>
        <v>28781.786941580755</v>
      </c>
    </row>
    <row r="288" spans="1:11" x14ac:dyDescent="0.25">
      <c r="A288" t="s">
        <v>871</v>
      </c>
      <c r="B288">
        <v>1977</v>
      </c>
      <c r="C288" s="8">
        <v>90</v>
      </c>
      <c r="D288" s="8">
        <f t="shared" si="12"/>
        <v>5400</v>
      </c>
      <c r="E288" t="s">
        <v>72</v>
      </c>
      <c r="F288">
        <v>6.3</v>
      </c>
      <c r="G288" t="s">
        <v>198</v>
      </c>
      <c r="H288" s="11">
        <v>37196</v>
      </c>
      <c r="I288" s="6">
        <v>25000000</v>
      </c>
      <c r="J288" s="9">
        <f t="shared" si="13"/>
        <v>277777.77777777775</v>
      </c>
      <c r="K288" s="9">
        <f t="shared" si="14"/>
        <v>4629.6296296296296</v>
      </c>
    </row>
    <row r="289" spans="1:11" x14ac:dyDescent="0.25">
      <c r="A289" t="s">
        <v>998</v>
      </c>
      <c r="B289">
        <v>2013</v>
      </c>
      <c r="C289" s="8">
        <v>97</v>
      </c>
      <c r="D289" s="8">
        <f t="shared" si="12"/>
        <v>5820</v>
      </c>
      <c r="E289" t="s">
        <v>344</v>
      </c>
      <c r="F289">
        <v>6.3</v>
      </c>
      <c r="G289" t="s">
        <v>999</v>
      </c>
      <c r="H289" s="11">
        <v>77749</v>
      </c>
      <c r="I289" s="6">
        <v>17410000</v>
      </c>
      <c r="J289" s="9">
        <f t="shared" si="13"/>
        <v>179484.53608247422</v>
      </c>
      <c r="K289" s="9">
        <f t="shared" si="14"/>
        <v>2991.4089347079039</v>
      </c>
    </row>
    <row r="290" spans="1:11" x14ac:dyDescent="0.25">
      <c r="A290" t="s">
        <v>1001</v>
      </c>
      <c r="B290">
        <v>2009</v>
      </c>
      <c r="C290" s="8">
        <v>95</v>
      </c>
      <c r="D290" s="8">
        <f t="shared" si="12"/>
        <v>5700</v>
      </c>
      <c r="E290" t="s">
        <v>178</v>
      </c>
      <c r="F290">
        <v>6.3</v>
      </c>
      <c r="G290" t="s">
        <v>417</v>
      </c>
      <c r="H290" s="11">
        <v>49019</v>
      </c>
      <c r="I290" s="6">
        <v>100000</v>
      </c>
      <c r="J290" s="9">
        <f t="shared" si="13"/>
        <v>1052.6315789473683</v>
      </c>
      <c r="K290" s="9">
        <f t="shared" si="14"/>
        <v>17.543859649122808</v>
      </c>
    </row>
    <row r="291" spans="1:11" x14ac:dyDescent="0.25">
      <c r="A291" t="s">
        <v>82</v>
      </c>
      <c r="B291">
        <v>1994</v>
      </c>
      <c r="C291" s="8">
        <v>123</v>
      </c>
      <c r="D291" s="8">
        <f t="shared" si="12"/>
        <v>7380</v>
      </c>
      <c r="E291" t="s">
        <v>516</v>
      </c>
      <c r="F291">
        <v>6.3</v>
      </c>
      <c r="G291" t="s">
        <v>1002</v>
      </c>
      <c r="H291" s="11">
        <v>57239</v>
      </c>
      <c r="I291" s="6">
        <v>22010000</v>
      </c>
      <c r="J291" s="9">
        <f t="shared" si="13"/>
        <v>178943.0894308943</v>
      </c>
      <c r="K291" s="9">
        <f t="shared" si="14"/>
        <v>2982.3848238482383</v>
      </c>
    </row>
    <row r="292" spans="1:11" x14ac:dyDescent="0.25">
      <c r="A292" t="s">
        <v>1004</v>
      </c>
      <c r="B292">
        <v>2017</v>
      </c>
      <c r="C292" s="8">
        <v>116</v>
      </c>
      <c r="D292" s="8">
        <f t="shared" si="12"/>
        <v>6960</v>
      </c>
      <c r="E292" t="s">
        <v>42</v>
      </c>
      <c r="F292">
        <v>6.3</v>
      </c>
      <c r="G292" t="s">
        <v>1005</v>
      </c>
      <c r="H292" s="11">
        <v>26480</v>
      </c>
      <c r="I292" s="6">
        <v>30000</v>
      </c>
      <c r="J292" s="9">
        <f t="shared" si="13"/>
        <v>258.62068965517244</v>
      </c>
      <c r="K292" s="9">
        <f t="shared" si="14"/>
        <v>4.3103448275862073</v>
      </c>
    </row>
    <row r="293" spans="1:11" x14ac:dyDescent="0.25">
      <c r="A293" t="s">
        <v>1006</v>
      </c>
      <c r="B293">
        <v>2009</v>
      </c>
      <c r="C293" s="8">
        <v>87</v>
      </c>
      <c r="D293" s="8">
        <f t="shared" si="12"/>
        <v>5220</v>
      </c>
      <c r="E293" t="s">
        <v>28</v>
      </c>
      <c r="F293">
        <v>6.3</v>
      </c>
      <c r="G293" t="s">
        <v>1007</v>
      </c>
      <c r="H293" s="11">
        <v>82545</v>
      </c>
      <c r="I293" s="6">
        <v>28570000</v>
      </c>
      <c r="J293" s="9">
        <f t="shared" si="13"/>
        <v>328390.80459770112</v>
      </c>
      <c r="K293" s="9">
        <f t="shared" si="14"/>
        <v>5473.1800766283523</v>
      </c>
    </row>
    <row r="294" spans="1:11" x14ac:dyDescent="0.25">
      <c r="A294" t="s">
        <v>1009</v>
      </c>
      <c r="B294">
        <v>1985</v>
      </c>
      <c r="C294" s="8">
        <v>94</v>
      </c>
      <c r="D294" s="8">
        <f t="shared" si="12"/>
        <v>5640</v>
      </c>
      <c r="E294" t="s">
        <v>308</v>
      </c>
      <c r="F294">
        <v>6.3</v>
      </c>
      <c r="G294" t="s">
        <v>1010</v>
      </c>
      <c r="H294" s="11">
        <v>26850</v>
      </c>
      <c r="I294" s="6">
        <v>13090000</v>
      </c>
      <c r="J294" s="9">
        <f t="shared" si="13"/>
        <v>139255.31914893616</v>
      </c>
      <c r="K294" s="9">
        <f t="shared" si="14"/>
        <v>2320.921985815603</v>
      </c>
    </row>
    <row r="295" spans="1:11" x14ac:dyDescent="0.25">
      <c r="A295" t="s">
        <v>1012</v>
      </c>
      <c r="B295">
        <v>2012</v>
      </c>
      <c r="C295" s="8">
        <v>88</v>
      </c>
      <c r="D295" s="8">
        <f t="shared" si="12"/>
        <v>5280</v>
      </c>
      <c r="E295" t="s">
        <v>438</v>
      </c>
      <c r="F295">
        <v>6.3</v>
      </c>
      <c r="G295" t="s">
        <v>1013</v>
      </c>
      <c r="H295" s="11" t="s">
        <v>1014</v>
      </c>
      <c r="I295" s="6">
        <v>62320000</v>
      </c>
      <c r="J295" s="9">
        <f t="shared" si="13"/>
        <v>708181.81818181823</v>
      </c>
      <c r="K295" s="9">
        <f t="shared" si="14"/>
        <v>11803.030303030304</v>
      </c>
    </row>
    <row r="296" spans="1:11" x14ac:dyDescent="0.25">
      <c r="A296" t="s">
        <v>1016</v>
      </c>
      <c r="B296">
        <v>1993</v>
      </c>
      <c r="C296" s="8">
        <v>109</v>
      </c>
      <c r="D296" s="8">
        <f t="shared" si="12"/>
        <v>6540</v>
      </c>
      <c r="E296" t="s">
        <v>42</v>
      </c>
      <c r="F296">
        <v>6.3</v>
      </c>
      <c r="G296" t="s">
        <v>1017</v>
      </c>
      <c r="H296" s="11">
        <v>26987</v>
      </c>
      <c r="I296" s="6">
        <v>14540000</v>
      </c>
      <c r="J296" s="9">
        <f t="shared" si="13"/>
        <v>133394.49541284403</v>
      </c>
      <c r="K296" s="9">
        <f t="shared" si="14"/>
        <v>2223.2415902140674</v>
      </c>
    </row>
    <row r="297" spans="1:11" x14ac:dyDescent="0.25">
      <c r="A297" t="s">
        <v>1019</v>
      </c>
      <c r="B297">
        <v>2004</v>
      </c>
      <c r="C297" s="8">
        <v>106</v>
      </c>
      <c r="D297" s="8">
        <f t="shared" si="12"/>
        <v>6360</v>
      </c>
      <c r="E297" t="s">
        <v>369</v>
      </c>
      <c r="F297">
        <v>6.3</v>
      </c>
      <c r="G297" t="s">
        <v>1020</v>
      </c>
      <c r="H297" s="11">
        <v>62706</v>
      </c>
      <c r="I297" s="6">
        <v>4480000</v>
      </c>
      <c r="J297" s="9">
        <f t="shared" si="13"/>
        <v>42264.150943396227</v>
      </c>
      <c r="K297" s="9">
        <f t="shared" si="14"/>
        <v>704.40251572327043</v>
      </c>
    </row>
    <row r="298" spans="1:11" x14ac:dyDescent="0.25">
      <c r="A298" t="s">
        <v>1023</v>
      </c>
      <c r="B298">
        <v>1995</v>
      </c>
      <c r="C298" s="8">
        <v>108</v>
      </c>
      <c r="D298" s="8">
        <f t="shared" si="12"/>
        <v>6480</v>
      </c>
      <c r="E298" t="s">
        <v>344</v>
      </c>
      <c r="F298">
        <v>6.3</v>
      </c>
      <c r="G298" t="s">
        <v>1024</v>
      </c>
      <c r="H298" s="11">
        <v>28447</v>
      </c>
      <c r="I298" s="6">
        <v>5780000</v>
      </c>
      <c r="J298" s="9">
        <f t="shared" si="13"/>
        <v>53518.518518518518</v>
      </c>
      <c r="K298" s="9">
        <f t="shared" si="14"/>
        <v>891.97530864197529</v>
      </c>
    </row>
    <row r="299" spans="1:11" x14ac:dyDescent="0.25">
      <c r="A299" t="s">
        <v>1026</v>
      </c>
      <c r="B299">
        <v>2009</v>
      </c>
      <c r="C299" s="8">
        <v>91</v>
      </c>
      <c r="D299" s="8">
        <f t="shared" si="12"/>
        <v>5460</v>
      </c>
      <c r="E299" t="s">
        <v>187</v>
      </c>
      <c r="F299">
        <v>6.3</v>
      </c>
      <c r="G299" t="s">
        <v>607</v>
      </c>
      <c r="H299" s="11">
        <v>68631</v>
      </c>
      <c r="I299" s="6">
        <v>40000</v>
      </c>
      <c r="J299" s="9">
        <f t="shared" si="13"/>
        <v>439.56043956043953</v>
      </c>
      <c r="K299" s="9">
        <f t="shared" si="14"/>
        <v>7.3260073260073257</v>
      </c>
    </row>
    <row r="300" spans="1:11" x14ac:dyDescent="0.25">
      <c r="A300" t="s">
        <v>1027</v>
      </c>
      <c r="B300">
        <v>2014</v>
      </c>
      <c r="C300" s="8">
        <v>93</v>
      </c>
      <c r="D300" s="8">
        <f t="shared" si="12"/>
        <v>5580</v>
      </c>
      <c r="E300" t="s">
        <v>72</v>
      </c>
      <c r="F300">
        <v>6.3</v>
      </c>
      <c r="G300" t="s">
        <v>1028</v>
      </c>
      <c r="H300" s="11">
        <v>37811</v>
      </c>
      <c r="I300" s="6">
        <v>10000</v>
      </c>
      <c r="J300" s="9">
        <f t="shared" si="13"/>
        <v>107.52688172043011</v>
      </c>
      <c r="K300" s="9">
        <f t="shared" si="14"/>
        <v>1.7921146953405018</v>
      </c>
    </row>
    <row r="301" spans="1:11" x14ac:dyDescent="0.25">
      <c r="A301" t="s">
        <v>1029</v>
      </c>
      <c r="B301">
        <v>2005</v>
      </c>
      <c r="C301" s="8">
        <v>120</v>
      </c>
      <c r="D301" s="8">
        <f t="shared" si="12"/>
        <v>7200</v>
      </c>
      <c r="E301" t="s">
        <v>28</v>
      </c>
      <c r="F301">
        <v>6.3</v>
      </c>
      <c r="G301" t="s">
        <v>1030</v>
      </c>
      <c r="H301" s="11">
        <v>34068</v>
      </c>
      <c r="I301" s="6">
        <v>70000</v>
      </c>
      <c r="J301" s="9">
        <f t="shared" si="13"/>
        <v>583.33333333333337</v>
      </c>
      <c r="K301" s="9">
        <f t="shared" si="14"/>
        <v>9.7222222222222214</v>
      </c>
    </row>
    <row r="302" spans="1:11" x14ac:dyDescent="0.25">
      <c r="A302" t="s">
        <v>1032</v>
      </c>
      <c r="B302">
        <v>2012</v>
      </c>
      <c r="C302" s="8">
        <v>99</v>
      </c>
      <c r="D302" s="8">
        <f t="shared" si="12"/>
        <v>5940</v>
      </c>
      <c r="E302" t="s">
        <v>187</v>
      </c>
      <c r="F302">
        <v>6.3</v>
      </c>
      <c r="G302" t="s">
        <v>514</v>
      </c>
      <c r="H302" s="11">
        <v>39473</v>
      </c>
      <c r="I302" s="6">
        <v>140000</v>
      </c>
      <c r="J302" s="9">
        <f t="shared" si="13"/>
        <v>1414.1414141414141</v>
      </c>
      <c r="K302" s="9">
        <f t="shared" si="14"/>
        <v>23.569023569023567</v>
      </c>
    </row>
    <row r="303" spans="1:11" x14ac:dyDescent="0.25">
      <c r="A303" t="s">
        <v>1033</v>
      </c>
      <c r="B303">
        <v>2011</v>
      </c>
      <c r="C303" s="8">
        <v>111</v>
      </c>
      <c r="D303" s="8">
        <f t="shared" si="12"/>
        <v>6660</v>
      </c>
      <c r="E303" t="s">
        <v>242</v>
      </c>
      <c r="F303">
        <v>6.2</v>
      </c>
      <c r="G303" t="s">
        <v>198</v>
      </c>
      <c r="H303" s="11" t="s">
        <v>1034</v>
      </c>
      <c r="I303" s="6">
        <v>38180000</v>
      </c>
      <c r="J303" s="9">
        <f t="shared" si="13"/>
        <v>343963.96396396396</v>
      </c>
      <c r="K303" s="9">
        <f t="shared" si="14"/>
        <v>5732.732732732733</v>
      </c>
    </row>
    <row r="304" spans="1:11" x14ac:dyDescent="0.25">
      <c r="A304" t="s">
        <v>1036</v>
      </c>
      <c r="B304">
        <v>2010</v>
      </c>
      <c r="C304" s="8">
        <v>108</v>
      </c>
      <c r="D304" s="8">
        <f t="shared" si="12"/>
        <v>6480</v>
      </c>
      <c r="E304" t="s">
        <v>72</v>
      </c>
      <c r="F304">
        <v>6.2</v>
      </c>
      <c r="G304" t="s">
        <v>1037</v>
      </c>
      <c r="H304" s="11">
        <v>88102</v>
      </c>
      <c r="I304" s="6">
        <v>90000</v>
      </c>
      <c r="J304" s="9">
        <f t="shared" si="13"/>
        <v>833.33333333333337</v>
      </c>
      <c r="K304" s="9">
        <f t="shared" si="14"/>
        <v>13.888888888888889</v>
      </c>
    </row>
    <row r="305" spans="1:11" x14ac:dyDescent="0.25">
      <c r="A305" t="s">
        <v>1038</v>
      </c>
      <c r="B305">
        <v>2015</v>
      </c>
      <c r="C305" s="8">
        <v>94</v>
      </c>
      <c r="D305" s="8">
        <f t="shared" si="12"/>
        <v>5640</v>
      </c>
      <c r="E305" t="s">
        <v>14</v>
      </c>
      <c r="F305">
        <v>6.2</v>
      </c>
      <c r="G305" t="s">
        <v>254</v>
      </c>
      <c r="H305" s="11" t="s">
        <v>1039</v>
      </c>
      <c r="I305" s="6">
        <v>65210000</v>
      </c>
      <c r="J305" s="9">
        <f t="shared" si="13"/>
        <v>693723.40425531915</v>
      </c>
      <c r="K305" s="9">
        <f t="shared" si="14"/>
        <v>11562.056737588653</v>
      </c>
    </row>
    <row r="306" spans="1:11" x14ac:dyDescent="0.25">
      <c r="A306" t="s">
        <v>1041</v>
      </c>
      <c r="B306">
        <v>2001</v>
      </c>
      <c r="C306" s="8">
        <v>90</v>
      </c>
      <c r="D306" s="8">
        <f t="shared" si="12"/>
        <v>5400</v>
      </c>
      <c r="E306" t="s">
        <v>178</v>
      </c>
      <c r="F306">
        <v>6.2</v>
      </c>
      <c r="G306" t="s">
        <v>1042</v>
      </c>
      <c r="H306" s="11" t="s">
        <v>1043</v>
      </c>
      <c r="I306" s="6">
        <v>37900000</v>
      </c>
      <c r="J306" s="9">
        <f t="shared" si="13"/>
        <v>421111.11111111112</v>
      </c>
      <c r="K306" s="9">
        <f t="shared" si="14"/>
        <v>7018.5185185185182</v>
      </c>
    </row>
    <row r="307" spans="1:11" x14ac:dyDescent="0.25">
      <c r="A307" t="s">
        <v>1045</v>
      </c>
      <c r="B307">
        <v>2011</v>
      </c>
      <c r="C307" s="8">
        <v>103</v>
      </c>
      <c r="D307" s="8">
        <f t="shared" si="12"/>
        <v>6180</v>
      </c>
      <c r="E307" t="s">
        <v>24</v>
      </c>
      <c r="F307">
        <v>6.2</v>
      </c>
      <c r="G307" t="s">
        <v>1046</v>
      </c>
      <c r="H307" s="11" t="s">
        <v>1047</v>
      </c>
      <c r="I307" s="6">
        <v>16930000</v>
      </c>
      <c r="J307" s="9">
        <f t="shared" si="13"/>
        <v>164368.93203883496</v>
      </c>
      <c r="K307" s="9">
        <f t="shared" si="14"/>
        <v>2739.4822006472491</v>
      </c>
    </row>
    <row r="308" spans="1:11" x14ac:dyDescent="0.25">
      <c r="A308" t="s">
        <v>1049</v>
      </c>
      <c r="B308">
        <v>2013</v>
      </c>
      <c r="C308" s="8">
        <v>100</v>
      </c>
      <c r="D308" s="8">
        <f t="shared" si="12"/>
        <v>6000</v>
      </c>
      <c r="E308" t="s">
        <v>819</v>
      </c>
      <c r="F308">
        <v>6.2</v>
      </c>
      <c r="G308" t="s">
        <v>250</v>
      </c>
      <c r="H308" s="11" t="s">
        <v>1050</v>
      </c>
      <c r="I308" s="6">
        <v>71630000</v>
      </c>
      <c r="J308" s="9">
        <f t="shared" si="13"/>
        <v>716300</v>
      </c>
      <c r="K308" s="9">
        <f t="shared" si="14"/>
        <v>11938.333333333334</v>
      </c>
    </row>
    <row r="309" spans="1:11" x14ac:dyDescent="0.25">
      <c r="A309" t="s">
        <v>1052</v>
      </c>
      <c r="B309">
        <v>2014</v>
      </c>
      <c r="C309" s="8">
        <v>93</v>
      </c>
      <c r="D309" s="8">
        <f t="shared" si="12"/>
        <v>5580</v>
      </c>
      <c r="E309" t="s">
        <v>14</v>
      </c>
      <c r="F309">
        <v>6.2</v>
      </c>
      <c r="G309" t="s">
        <v>981</v>
      </c>
      <c r="H309" s="11" t="s">
        <v>1053</v>
      </c>
      <c r="I309" s="6">
        <v>21200000</v>
      </c>
      <c r="J309" s="9">
        <f t="shared" si="13"/>
        <v>227956.98924731184</v>
      </c>
      <c r="K309" s="9">
        <f t="shared" si="14"/>
        <v>3799.2831541218638</v>
      </c>
    </row>
    <row r="310" spans="1:11" x14ac:dyDescent="0.25">
      <c r="A310" t="s">
        <v>1054</v>
      </c>
      <c r="B310">
        <v>2005</v>
      </c>
      <c r="C310" s="8">
        <v>99</v>
      </c>
      <c r="D310" s="8">
        <f t="shared" si="12"/>
        <v>5940</v>
      </c>
      <c r="E310" t="s">
        <v>72</v>
      </c>
      <c r="F310">
        <v>6.2</v>
      </c>
      <c r="G310" t="s">
        <v>1055</v>
      </c>
      <c r="H310" s="11">
        <v>75604</v>
      </c>
      <c r="I310" s="6">
        <v>16190000</v>
      </c>
      <c r="J310" s="9">
        <f t="shared" si="13"/>
        <v>163535.35353535353</v>
      </c>
      <c r="K310" s="9">
        <f t="shared" si="14"/>
        <v>2725.5892255892254</v>
      </c>
    </row>
    <row r="311" spans="1:11" x14ac:dyDescent="0.25">
      <c r="A311" t="s">
        <v>1057</v>
      </c>
      <c r="B311">
        <v>2012</v>
      </c>
      <c r="C311" s="8">
        <v>113</v>
      </c>
      <c r="D311" s="8">
        <f t="shared" si="12"/>
        <v>6780</v>
      </c>
      <c r="E311" t="s">
        <v>187</v>
      </c>
      <c r="F311">
        <v>6.2</v>
      </c>
      <c r="G311" t="s">
        <v>273</v>
      </c>
      <c r="H311" s="11" t="s">
        <v>1058</v>
      </c>
      <c r="I311" s="6">
        <v>79730000</v>
      </c>
      <c r="J311" s="9">
        <f t="shared" si="13"/>
        <v>705575.22123893804</v>
      </c>
      <c r="K311" s="9">
        <f t="shared" si="14"/>
        <v>11759.587020648967</v>
      </c>
    </row>
    <row r="312" spans="1:11" x14ac:dyDescent="0.25">
      <c r="A312" t="s">
        <v>1060</v>
      </c>
      <c r="B312">
        <v>1997</v>
      </c>
      <c r="C312" s="8">
        <v>109</v>
      </c>
      <c r="D312" s="8">
        <f t="shared" si="12"/>
        <v>6540</v>
      </c>
      <c r="E312" t="s">
        <v>325</v>
      </c>
      <c r="F312">
        <v>6.2</v>
      </c>
      <c r="G312" t="s">
        <v>1061</v>
      </c>
      <c r="H312" s="11" t="s">
        <v>1062</v>
      </c>
      <c r="I312" s="6">
        <v>47750000</v>
      </c>
      <c r="J312" s="9">
        <f t="shared" si="13"/>
        <v>438073.39449541282</v>
      </c>
      <c r="K312" s="9">
        <f t="shared" si="14"/>
        <v>7301.2232415902145</v>
      </c>
    </row>
    <row r="313" spans="1:11" x14ac:dyDescent="0.25">
      <c r="A313" t="s">
        <v>1064</v>
      </c>
      <c r="B313">
        <v>1983</v>
      </c>
      <c r="C313" s="8">
        <v>84</v>
      </c>
      <c r="D313" s="8">
        <f t="shared" si="12"/>
        <v>5040</v>
      </c>
      <c r="E313" t="s">
        <v>30</v>
      </c>
      <c r="F313">
        <v>6.2</v>
      </c>
      <c r="G313" t="s">
        <v>1065</v>
      </c>
      <c r="H313" s="11">
        <v>35167</v>
      </c>
      <c r="I313" s="6">
        <v>11000000</v>
      </c>
      <c r="J313" s="9">
        <f t="shared" si="13"/>
        <v>130952.38095238095</v>
      </c>
      <c r="K313" s="9">
        <f t="shared" si="14"/>
        <v>2182.5396825396824</v>
      </c>
    </row>
    <row r="314" spans="1:11" x14ac:dyDescent="0.25">
      <c r="A314" t="s">
        <v>1067</v>
      </c>
      <c r="B314">
        <v>2014</v>
      </c>
      <c r="C314" s="8">
        <v>92</v>
      </c>
      <c r="D314" s="8">
        <f t="shared" si="12"/>
        <v>5520</v>
      </c>
      <c r="E314" t="s">
        <v>1068</v>
      </c>
      <c r="F314">
        <v>6.2</v>
      </c>
      <c r="G314" t="s">
        <v>1069</v>
      </c>
      <c r="H314" s="11" t="s">
        <v>1070</v>
      </c>
      <c r="I314" s="6">
        <v>56280000</v>
      </c>
      <c r="J314" s="9">
        <f t="shared" si="13"/>
        <v>611739.13043478259</v>
      </c>
      <c r="K314" s="9">
        <f t="shared" si="14"/>
        <v>10195.652173913044</v>
      </c>
    </row>
    <row r="315" spans="1:11" x14ac:dyDescent="0.25">
      <c r="A315" t="s">
        <v>1072</v>
      </c>
      <c r="B315">
        <v>2003</v>
      </c>
      <c r="C315" s="8">
        <v>90</v>
      </c>
      <c r="D315" s="8">
        <f t="shared" si="12"/>
        <v>5400</v>
      </c>
      <c r="E315" t="s">
        <v>72</v>
      </c>
      <c r="F315">
        <v>6.2</v>
      </c>
      <c r="G315" t="s">
        <v>1073</v>
      </c>
      <c r="H315" s="11" t="s">
        <v>1074</v>
      </c>
      <c r="I315" s="6">
        <v>46960000</v>
      </c>
      <c r="J315" s="9">
        <f t="shared" si="13"/>
        <v>521777.77777777775</v>
      </c>
      <c r="K315" s="9">
        <f t="shared" si="14"/>
        <v>8696.2962962962956</v>
      </c>
    </row>
    <row r="316" spans="1:11" x14ac:dyDescent="0.25">
      <c r="A316" t="s">
        <v>1076</v>
      </c>
      <c r="B316">
        <v>2003</v>
      </c>
      <c r="C316" s="8">
        <v>98</v>
      </c>
      <c r="D316" s="8">
        <f t="shared" si="12"/>
        <v>5880</v>
      </c>
      <c r="E316" t="s">
        <v>754</v>
      </c>
      <c r="F316">
        <v>6.2</v>
      </c>
      <c r="G316" t="s">
        <v>1077</v>
      </c>
      <c r="H316" s="11" t="s">
        <v>1078</v>
      </c>
      <c r="I316" s="6">
        <v>80570000</v>
      </c>
      <c r="J316" s="9">
        <f t="shared" si="13"/>
        <v>822142.85714285716</v>
      </c>
      <c r="K316" s="9">
        <f t="shared" si="14"/>
        <v>13702.380952380952</v>
      </c>
    </row>
    <row r="317" spans="1:11" x14ac:dyDescent="0.25">
      <c r="A317" t="s">
        <v>1080</v>
      </c>
      <c r="B317">
        <v>2019</v>
      </c>
      <c r="C317" s="8">
        <v>108</v>
      </c>
      <c r="D317" s="8">
        <f t="shared" si="12"/>
        <v>6480</v>
      </c>
      <c r="E317" t="s">
        <v>848</v>
      </c>
      <c r="F317">
        <v>6.2</v>
      </c>
      <c r="G317" t="s">
        <v>526</v>
      </c>
      <c r="H317" s="11">
        <v>80434</v>
      </c>
      <c r="I317" s="6">
        <v>68950000</v>
      </c>
      <c r="J317" s="9">
        <f t="shared" si="13"/>
        <v>638425.92592592596</v>
      </c>
      <c r="K317" s="9">
        <f t="shared" si="14"/>
        <v>10640.432098765432</v>
      </c>
    </row>
    <row r="318" spans="1:11" x14ac:dyDescent="0.25">
      <c r="A318" t="s">
        <v>1082</v>
      </c>
      <c r="B318">
        <v>2014</v>
      </c>
      <c r="C318" s="8">
        <v>118</v>
      </c>
      <c r="D318" s="8">
        <f t="shared" si="12"/>
        <v>7080</v>
      </c>
      <c r="E318" t="s">
        <v>1083</v>
      </c>
      <c r="F318">
        <v>6.2</v>
      </c>
      <c r="G318" t="s">
        <v>476</v>
      </c>
      <c r="H318" s="11">
        <v>81017</v>
      </c>
      <c r="I318" s="6">
        <v>30580000</v>
      </c>
      <c r="J318" s="9">
        <f t="shared" si="13"/>
        <v>259152.54237288135</v>
      </c>
      <c r="K318" s="9">
        <f t="shared" si="14"/>
        <v>4319.2090395480227</v>
      </c>
    </row>
    <row r="319" spans="1:11" x14ac:dyDescent="0.25">
      <c r="A319" t="s">
        <v>1085</v>
      </c>
      <c r="B319">
        <v>2017</v>
      </c>
      <c r="C319" s="8">
        <v>91</v>
      </c>
      <c r="D319" s="8">
        <f t="shared" si="12"/>
        <v>5460</v>
      </c>
      <c r="E319" t="s">
        <v>42</v>
      </c>
      <c r="F319">
        <v>6.2</v>
      </c>
      <c r="G319" t="s">
        <v>1086</v>
      </c>
      <c r="H319" s="11">
        <v>98054</v>
      </c>
      <c r="I319" s="6">
        <v>13990000</v>
      </c>
      <c r="J319" s="9">
        <f t="shared" si="13"/>
        <v>153736.26373626373</v>
      </c>
      <c r="K319" s="9">
        <f t="shared" si="14"/>
        <v>2562.2710622710624</v>
      </c>
    </row>
    <row r="320" spans="1:11" x14ac:dyDescent="0.25">
      <c r="A320" t="s">
        <v>1089</v>
      </c>
      <c r="B320">
        <v>2009</v>
      </c>
      <c r="C320" s="8">
        <v>109</v>
      </c>
      <c r="D320" s="8">
        <f t="shared" si="12"/>
        <v>6540</v>
      </c>
      <c r="E320" t="s">
        <v>14</v>
      </c>
      <c r="F320">
        <v>6.2</v>
      </c>
      <c r="G320" t="s">
        <v>626</v>
      </c>
      <c r="H320" s="11">
        <v>90324</v>
      </c>
      <c r="I320" s="6">
        <v>13250000</v>
      </c>
      <c r="J320" s="9">
        <f t="shared" si="13"/>
        <v>121559.63302752294</v>
      </c>
      <c r="K320" s="9">
        <f t="shared" si="14"/>
        <v>2025.993883792049</v>
      </c>
    </row>
    <row r="321" spans="1:11" x14ac:dyDescent="0.25">
      <c r="A321" t="s">
        <v>1091</v>
      </c>
      <c r="B321">
        <v>2016</v>
      </c>
      <c r="C321" s="8">
        <v>99</v>
      </c>
      <c r="D321" s="8">
        <f t="shared" si="12"/>
        <v>5940</v>
      </c>
      <c r="E321" t="s">
        <v>42</v>
      </c>
      <c r="F321">
        <v>6.2</v>
      </c>
      <c r="G321" t="s">
        <v>258</v>
      </c>
      <c r="H321" s="11">
        <v>68575</v>
      </c>
      <c r="I321" s="6">
        <v>35140000</v>
      </c>
      <c r="J321" s="9">
        <f t="shared" si="13"/>
        <v>354949.49494949495</v>
      </c>
      <c r="K321" s="9">
        <f t="shared" si="14"/>
        <v>5915.8249158249155</v>
      </c>
    </row>
    <row r="322" spans="1:11" x14ac:dyDescent="0.25">
      <c r="A322" t="s">
        <v>1093</v>
      </c>
      <c r="B322">
        <v>1988</v>
      </c>
      <c r="C322" s="8">
        <v>88</v>
      </c>
      <c r="D322" s="8">
        <f t="shared" si="12"/>
        <v>5280</v>
      </c>
      <c r="E322" t="s">
        <v>296</v>
      </c>
      <c r="F322">
        <v>6.2</v>
      </c>
      <c r="G322" t="s">
        <v>1094</v>
      </c>
      <c r="H322" s="11">
        <v>41538</v>
      </c>
      <c r="I322" s="6">
        <v>15630000</v>
      </c>
      <c r="J322" s="9">
        <f t="shared" si="13"/>
        <v>177613.63636363635</v>
      </c>
      <c r="K322" s="9">
        <f t="shared" si="14"/>
        <v>2960.2272727272725</v>
      </c>
    </row>
    <row r="323" spans="1:11" x14ac:dyDescent="0.25">
      <c r="A323" t="s">
        <v>1096</v>
      </c>
      <c r="B323">
        <v>2005</v>
      </c>
      <c r="C323" s="8">
        <v>95</v>
      </c>
      <c r="D323" s="8">
        <f t="shared" ref="D323:D386" si="15">C323*60</f>
        <v>5700</v>
      </c>
      <c r="E323" t="s">
        <v>116</v>
      </c>
      <c r="F323">
        <v>6.2</v>
      </c>
      <c r="G323" t="s">
        <v>1097</v>
      </c>
      <c r="H323" s="11">
        <v>32911</v>
      </c>
      <c r="I323" s="6">
        <v>50000</v>
      </c>
      <c r="J323" s="9">
        <f t="shared" ref="J323:J386" si="16">I323/C323</f>
        <v>526.31578947368416</v>
      </c>
      <c r="K323" s="9">
        <f t="shared" ref="K323:K386" si="17">I323/D323</f>
        <v>8.7719298245614041</v>
      </c>
    </row>
    <row r="324" spans="1:11" x14ac:dyDescent="0.25">
      <c r="A324" t="s">
        <v>1098</v>
      </c>
      <c r="B324">
        <v>2007</v>
      </c>
      <c r="C324" s="8">
        <v>99</v>
      </c>
      <c r="D324" s="8">
        <f t="shared" si="15"/>
        <v>5940</v>
      </c>
      <c r="E324" t="s">
        <v>329</v>
      </c>
      <c r="F324">
        <v>6.2</v>
      </c>
      <c r="G324" t="s">
        <v>1055</v>
      </c>
      <c r="H324" s="11">
        <v>32128</v>
      </c>
      <c r="I324" s="6">
        <v>10000</v>
      </c>
      <c r="J324" s="9">
        <f t="shared" si="16"/>
        <v>101.01010101010101</v>
      </c>
      <c r="K324" s="9">
        <f t="shared" si="17"/>
        <v>1.6835016835016836</v>
      </c>
    </row>
    <row r="325" spans="1:11" x14ac:dyDescent="0.25">
      <c r="A325" t="s">
        <v>1099</v>
      </c>
      <c r="B325">
        <v>2007</v>
      </c>
      <c r="C325" s="8">
        <v>94</v>
      </c>
      <c r="D325" s="8">
        <f t="shared" si="15"/>
        <v>5640</v>
      </c>
      <c r="E325" t="s">
        <v>325</v>
      </c>
      <c r="F325">
        <v>6.2</v>
      </c>
      <c r="G325" t="s">
        <v>1100</v>
      </c>
      <c r="H325" s="11" t="s">
        <v>1101</v>
      </c>
      <c r="I325" s="6">
        <v>50650000</v>
      </c>
      <c r="J325" s="9">
        <f t="shared" si="16"/>
        <v>538829.78723404254</v>
      </c>
      <c r="K325" s="9">
        <f t="shared" si="17"/>
        <v>8980.4964539007087</v>
      </c>
    </row>
    <row r="326" spans="1:11" x14ac:dyDescent="0.25">
      <c r="A326" t="s">
        <v>1103</v>
      </c>
      <c r="B326">
        <v>1999</v>
      </c>
      <c r="C326" s="8">
        <v>92</v>
      </c>
      <c r="D326" s="8">
        <f t="shared" si="15"/>
        <v>5520</v>
      </c>
      <c r="E326" t="s">
        <v>187</v>
      </c>
      <c r="F326">
        <v>6.2</v>
      </c>
      <c r="G326" t="s">
        <v>1104</v>
      </c>
      <c r="H326" s="11">
        <v>45083</v>
      </c>
      <c r="I326" s="6">
        <v>4000000</v>
      </c>
      <c r="J326" s="9">
        <f t="shared" si="16"/>
        <v>43478.260869565216</v>
      </c>
      <c r="K326" s="9">
        <f t="shared" si="17"/>
        <v>724.63768115942025</v>
      </c>
    </row>
    <row r="327" spans="1:11" x14ac:dyDescent="0.25">
      <c r="A327" t="s">
        <v>1106</v>
      </c>
      <c r="B327">
        <v>2006</v>
      </c>
      <c r="C327" s="8">
        <v>108</v>
      </c>
      <c r="D327" s="8">
        <f t="shared" si="15"/>
        <v>6480</v>
      </c>
      <c r="E327" t="s">
        <v>14</v>
      </c>
      <c r="F327">
        <v>6.2</v>
      </c>
      <c r="G327" t="s">
        <v>738</v>
      </c>
      <c r="H327" s="11" t="s">
        <v>1107</v>
      </c>
      <c r="I327" s="6">
        <v>80240000</v>
      </c>
      <c r="J327" s="9">
        <f t="shared" si="16"/>
        <v>742962.96296296292</v>
      </c>
      <c r="K327" s="9">
        <f t="shared" si="17"/>
        <v>12382.716049382716</v>
      </c>
    </row>
    <row r="328" spans="1:11" x14ac:dyDescent="0.25">
      <c r="A328" t="s">
        <v>1109</v>
      </c>
      <c r="B328">
        <v>2007</v>
      </c>
      <c r="C328" s="8">
        <v>85</v>
      </c>
      <c r="D328" s="8">
        <f t="shared" si="15"/>
        <v>5100</v>
      </c>
      <c r="E328" t="s">
        <v>72</v>
      </c>
      <c r="F328">
        <v>6.2</v>
      </c>
      <c r="G328" t="s">
        <v>1110</v>
      </c>
      <c r="H328" s="11" t="s">
        <v>1111</v>
      </c>
      <c r="I328" s="6">
        <v>19360000</v>
      </c>
      <c r="J328" s="9">
        <f t="shared" si="16"/>
        <v>227764.70588235295</v>
      </c>
      <c r="K328" s="9">
        <f t="shared" si="17"/>
        <v>3796.0784313725489</v>
      </c>
    </row>
    <row r="329" spans="1:11" x14ac:dyDescent="0.25">
      <c r="A329" t="s">
        <v>1113</v>
      </c>
      <c r="B329">
        <v>1994</v>
      </c>
      <c r="C329" s="8">
        <v>125</v>
      </c>
      <c r="D329" s="8">
        <f t="shared" si="15"/>
        <v>7500</v>
      </c>
      <c r="E329" t="s">
        <v>516</v>
      </c>
      <c r="F329">
        <v>6.2</v>
      </c>
      <c r="G329" t="s">
        <v>1114</v>
      </c>
      <c r="H329" s="11">
        <v>58267</v>
      </c>
      <c r="I329" s="6">
        <v>65010000</v>
      </c>
      <c r="J329" s="9">
        <f t="shared" si="16"/>
        <v>520080</v>
      </c>
      <c r="K329" s="9">
        <f t="shared" si="17"/>
        <v>8668</v>
      </c>
    </row>
    <row r="330" spans="1:11" x14ac:dyDescent="0.25">
      <c r="A330" t="s">
        <v>1116</v>
      </c>
      <c r="B330">
        <v>2005</v>
      </c>
      <c r="C330" s="8">
        <v>93</v>
      </c>
      <c r="D330" s="8">
        <f t="shared" si="15"/>
        <v>5580</v>
      </c>
      <c r="E330" t="s">
        <v>344</v>
      </c>
      <c r="F330">
        <v>6.2</v>
      </c>
      <c r="G330" t="s">
        <v>73</v>
      </c>
      <c r="H330" s="11">
        <v>98740</v>
      </c>
      <c r="I330" s="6">
        <v>20700000</v>
      </c>
      <c r="J330" s="9">
        <f t="shared" si="16"/>
        <v>222580.64516129033</v>
      </c>
      <c r="K330" s="9">
        <f t="shared" si="17"/>
        <v>3709.6774193548385</v>
      </c>
    </row>
    <row r="331" spans="1:11" x14ac:dyDescent="0.25">
      <c r="A331" t="s">
        <v>1119</v>
      </c>
      <c r="B331">
        <v>1999</v>
      </c>
      <c r="C331" s="8">
        <v>103</v>
      </c>
      <c r="D331" s="8">
        <f t="shared" si="15"/>
        <v>6180</v>
      </c>
      <c r="E331" t="s">
        <v>178</v>
      </c>
      <c r="F331">
        <v>6.2</v>
      </c>
      <c r="G331" t="s">
        <v>1120</v>
      </c>
      <c r="H331" s="11">
        <v>70383</v>
      </c>
      <c r="I331" s="6">
        <v>50050000</v>
      </c>
      <c r="J331" s="9">
        <f t="shared" si="16"/>
        <v>485922.33009708737</v>
      </c>
      <c r="K331" s="9">
        <f t="shared" si="17"/>
        <v>8098.705501618123</v>
      </c>
    </row>
    <row r="332" spans="1:11" x14ac:dyDescent="0.25">
      <c r="A332" t="s">
        <v>1122</v>
      </c>
      <c r="B332">
        <v>2019</v>
      </c>
      <c r="C332" s="8">
        <v>100</v>
      </c>
      <c r="D332" s="8">
        <f t="shared" si="15"/>
        <v>6000</v>
      </c>
      <c r="E332" t="s">
        <v>242</v>
      </c>
      <c r="F332">
        <v>6.2</v>
      </c>
      <c r="G332" t="s">
        <v>728</v>
      </c>
      <c r="H332" s="11">
        <v>79669</v>
      </c>
      <c r="I332" s="6">
        <v>28150000</v>
      </c>
      <c r="J332" s="9">
        <f t="shared" si="16"/>
        <v>281500</v>
      </c>
      <c r="K332" s="9">
        <f t="shared" si="17"/>
        <v>4691.666666666667</v>
      </c>
    </row>
    <row r="333" spans="1:11" x14ac:dyDescent="0.25">
      <c r="A333" t="s">
        <v>1124</v>
      </c>
      <c r="B333">
        <v>1978</v>
      </c>
      <c r="C333" s="8">
        <v>107</v>
      </c>
      <c r="D333" s="8">
        <f t="shared" si="15"/>
        <v>6420</v>
      </c>
      <c r="E333" t="s">
        <v>30</v>
      </c>
      <c r="F333">
        <v>6.2</v>
      </c>
      <c r="G333" t="s">
        <v>1125</v>
      </c>
      <c r="H333" s="11">
        <v>33729</v>
      </c>
      <c r="I333" s="6">
        <v>3880000</v>
      </c>
      <c r="J333" s="9">
        <f t="shared" si="16"/>
        <v>36261.682242990653</v>
      </c>
      <c r="K333" s="9">
        <f t="shared" si="17"/>
        <v>604.36137071651092</v>
      </c>
    </row>
    <row r="334" spans="1:11" x14ac:dyDescent="0.25">
      <c r="A334" t="s">
        <v>1127</v>
      </c>
      <c r="B334">
        <v>1988</v>
      </c>
      <c r="C334" s="8">
        <v>86</v>
      </c>
      <c r="D334" s="8">
        <f t="shared" si="15"/>
        <v>5160</v>
      </c>
      <c r="E334" t="s">
        <v>48</v>
      </c>
      <c r="F334">
        <v>6.2</v>
      </c>
      <c r="G334" t="s">
        <v>1128</v>
      </c>
      <c r="H334" s="11">
        <v>25833</v>
      </c>
      <c r="I334" s="6">
        <v>4390000</v>
      </c>
      <c r="J334" s="9">
        <f t="shared" si="16"/>
        <v>51046.511627906977</v>
      </c>
      <c r="K334" s="9">
        <f t="shared" si="17"/>
        <v>850.77519379844966</v>
      </c>
    </row>
    <row r="335" spans="1:11" x14ac:dyDescent="0.25">
      <c r="A335" t="s">
        <v>1130</v>
      </c>
      <c r="B335">
        <v>2015</v>
      </c>
      <c r="C335" s="8">
        <v>98</v>
      </c>
      <c r="D335" s="8">
        <f t="shared" si="15"/>
        <v>5880</v>
      </c>
      <c r="E335" t="s">
        <v>349</v>
      </c>
      <c r="F335">
        <v>6.2</v>
      </c>
      <c r="G335" t="s">
        <v>656</v>
      </c>
      <c r="H335" s="11">
        <v>79013</v>
      </c>
      <c r="I335" s="6">
        <v>42590000</v>
      </c>
      <c r="J335" s="9">
        <f t="shared" si="16"/>
        <v>434591.8367346939</v>
      </c>
      <c r="K335" s="9">
        <f t="shared" si="17"/>
        <v>7243.1972789115644</v>
      </c>
    </row>
    <row r="336" spans="1:11" x14ac:dyDescent="0.25">
      <c r="A336" t="s">
        <v>1132</v>
      </c>
      <c r="B336">
        <v>1993</v>
      </c>
      <c r="C336" s="8">
        <v>120</v>
      </c>
      <c r="D336" s="8">
        <f t="shared" si="15"/>
        <v>7200</v>
      </c>
      <c r="E336" t="s">
        <v>1133</v>
      </c>
      <c r="F336">
        <v>6.2</v>
      </c>
      <c r="G336" t="s">
        <v>1134</v>
      </c>
      <c r="H336" s="11">
        <v>26291</v>
      </c>
      <c r="I336" s="6">
        <v>15190000</v>
      </c>
      <c r="J336" s="9">
        <f t="shared" si="16"/>
        <v>126583.33333333333</v>
      </c>
      <c r="K336" s="9">
        <f t="shared" si="17"/>
        <v>2109.7222222222222</v>
      </c>
    </row>
    <row r="337" spans="1:11" x14ac:dyDescent="0.25">
      <c r="A337" t="s">
        <v>1137</v>
      </c>
      <c r="B337">
        <v>2003</v>
      </c>
      <c r="C337" s="8">
        <v>84</v>
      </c>
      <c r="D337" s="8">
        <f t="shared" si="15"/>
        <v>5040</v>
      </c>
      <c r="E337" t="s">
        <v>72</v>
      </c>
      <c r="F337">
        <v>6.1</v>
      </c>
      <c r="G337" t="s">
        <v>1138</v>
      </c>
      <c r="H337" s="11" t="s">
        <v>1139</v>
      </c>
      <c r="I337" s="6">
        <v>15420000</v>
      </c>
      <c r="J337" s="9">
        <f t="shared" si="16"/>
        <v>183571.42857142858</v>
      </c>
      <c r="K337" s="9">
        <f t="shared" si="17"/>
        <v>3059.5238095238096</v>
      </c>
    </row>
    <row r="338" spans="1:11" x14ac:dyDescent="0.25">
      <c r="A338" t="s">
        <v>1141</v>
      </c>
      <c r="B338">
        <v>1985</v>
      </c>
      <c r="C338" s="8">
        <v>101</v>
      </c>
      <c r="D338" s="8">
        <f t="shared" si="15"/>
        <v>6060</v>
      </c>
      <c r="E338" t="s">
        <v>625</v>
      </c>
      <c r="F338">
        <v>6.1</v>
      </c>
      <c r="G338" t="s">
        <v>217</v>
      </c>
      <c r="H338" s="11">
        <v>27500</v>
      </c>
      <c r="I338" s="6">
        <v>11600000</v>
      </c>
      <c r="J338" s="9">
        <f t="shared" si="16"/>
        <v>114851.48514851485</v>
      </c>
      <c r="K338" s="9">
        <f t="shared" si="17"/>
        <v>1914.1914191419141</v>
      </c>
    </row>
    <row r="339" spans="1:11" x14ac:dyDescent="0.25">
      <c r="A339" t="s">
        <v>1143</v>
      </c>
      <c r="B339">
        <v>2016</v>
      </c>
      <c r="C339" s="8">
        <v>117</v>
      </c>
      <c r="D339" s="8">
        <f t="shared" si="15"/>
        <v>7020</v>
      </c>
      <c r="E339" t="s">
        <v>72</v>
      </c>
      <c r="F339">
        <v>6.1</v>
      </c>
      <c r="G339" t="s">
        <v>1144</v>
      </c>
      <c r="H339" s="11">
        <v>99889</v>
      </c>
      <c r="I339" s="6">
        <v>1330000</v>
      </c>
      <c r="J339" s="9">
        <f t="shared" si="16"/>
        <v>11367.521367521367</v>
      </c>
      <c r="K339" s="9">
        <f t="shared" si="17"/>
        <v>189.45868945868946</v>
      </c>
    </row>
    <row r="340" spans="1:11" x14ac:dyDescent="0.25">
      <c r="A340" t="s">
        <v>1146</v>
      </c>
      <c r="B340">
        <v>2019</v>
      </c>
      <c r="C340" s="8">
        <v>90</v>
      </c>
      <c r="D340" s="8">
        <f t="shared" si="15"/>
        <v>5400</v>
      </c>
      <c r="E340" t="s">
        <v>42</v>
      </c>
      <c r="F340">
        <v>6.1</v>
      </c>
      <c r="G340" t="s">
        <v>1147</v>
      </c>
      <c r="H340" s="11" t="s">
        <v>1148</v>
      </c>
      <c r="I340" s="6">
        <v>17300000</v>
      </c>
      <c r="J340" s="9">
        <f t="shared" si="16"/>
        <v>192222.22222222222</v>
      </c>
      <c r="K340" s="9">
        <f t="shared" si="17"/>
        <v>3203.7037037037039</v>
      </c>
    </row>
    <row r="341" spans="1:11" x14ac:dyDescent="0.25">
      <c r="A341" t="s">
        <v>1150</v>
      </c>
      <c r="B341">
        <v>2008</v>
      </c>
      <c r="C341" s="8">
        <v>86</v>
      </c>
      <c r="D341" s="8">
        <f t="shared" si="15"/>
        <v>5160</v>
      </c>
      <c r="E341" t="s">
        <v>14</v>
      </c>
      <c r="F341">
        <v>6.1</v>
      </c>
      <c r="G341" t="s">
        <v>1151</v>
      </c>
      <c r="H341" s="11" t="s">
        <v>1152</v>
      </c>
      <c r="I341" s="6">
        <v>52600000</v>
      </c>
      <c r="J341" s="9">
        <f t="shared" si="16"/>
        <v>611627.90697674418</v>
      </c>
      <c r="K341" s="9">
        <f t="shared" si="17"/>
        <v>10193.798449612403</v>
      </c>
    </row>
    <row r="342" spans="1:11" x14ac:dyDescent="0.25">
      <c r="A342" t="s">
        <v>1154</v>
      </c>
      <c r="B342">
        <v>2015</v>
      </c>
      <c r="C342" s="8">
        <v>97</v>
      </c>
      <c r="D342" s="8">
        <f t="shared" si="15"/>
        <v>5820</v>
      </c>
      <c r="E342" t="s">
        <v>14</v>
      </c>
      <c r="F342">
        <v>6.1</v>
      </c>
      <c r="G342" t="s">
        <v>381</v>
      </c>
      <c r="H342" s="11" t="s">
        <v>1155</v>
      </c>
      <c r="I342" s="6">
        <v>52220000</v>
      </c>
      <c r="J342" s="9">
        <f t="shared" si="16"/>
        <v>538350.51546391752</v>
      </c>
      <c r="K342" s="9">
        <f t="shared" si="17"/>
        <v>8972.5085910652924</v>
      </c>
    </row>
    <row r="343" spans="1:11" x14ac:dyDescent="0.25">
      <c r="A343" t="s">
        <v>1157</v>
      </c>
      <c r="B343">
        <v>1981</v>
      </c>
      <c r="C343" s="8">
        <v>87</v>
      </c>
      <c r="D343" s="8">
        <f t="shared" si="15"/>
        <v>5220</v>
      </c>
      <c r="E343" t="s">
        <v>14</v>
      </c>
      <c r="F343">
        <v>6.1</v>
      </c>
      <c r="G343" t="s">
        <v>1158</v>
      </c>
      <c r="H343" s="11">
        <v>72452</v>
      </c>
      <c r="I343" s="6">
        <v>21720000</v>
      </c>
      <c r="J343" s="9">
        <f t="shared" si="16"/>
        <v>249655.1724137931</v>
      </c>
      <c r="K343" s="9">
        <f t="shared" si="17"/>
        <v>4160.9195402298847</v>
      </c>
    </row>
    <row r="344" spans="1:11" x14ac:dyDescent="0.25">
      <c r="A344" t="s">
        <v>1160</v>
      </c>
      <c r="B344">
        <v>2019</v>
      </c>
      <c r="C344" s="8">
        <v>87</v>
      </c>
      <c r="D344" s="8">
        <f t="shared" si="15"/>
        <v>5220</v>
      </c>
      <c r="E344" t="s">
        <v>62</v>
      </c>
      <c r="F344">
        <v>6.1</v>
      </c>
      <c r="G344" t="s">
        <v>639</v>
      </c>
      <c r="H344" s="11">
        <v>88669</v>
      </c>
      <c r="I344" s="6">
        <v>39010000</v>
      </c>
      <c r="J344" s="9">
        <f t="shared" si="16"/>
        <v>448390.80459770112</v>
      </c>
      <c r="K344" s="9">
        <f t="shared" si="17"/>
        <v>7473.1800766283523</v>
      </c>
    </row>
    <row r="345" spans="1:11" x14ac:dyDescent="0.25">
      <c r="A345" t="s">
        <v>1162</v>
      </c>
      <c r="B345">
        <v>2013</v>
      </c>
      <c r="C345" s="8">
        <v>88</v>
      </c>
      <c r="D345" s="8">
        <f t="shared" si="15"/>
        <v>5280</v>
      </c>
      <c r="E345" t="s">
        <v>438</v>
      </c>
      <c r="F345">
        <v>6.1</v>
      </c>
      <c r="G345" t="s">
        <v>607</v>
      </c>
      <c r="H345" s="11" t="s">
        <v>1163</v>
      </c>
      <c r="I345" s="6">
        <v>55700000</v>
      </c>
      <c r="J345" s="9">
        <f t="shared" si="16"/>
        <v>632954.54545454541</v>
      </c>
      <c r="K345" s="9">
        <f t="shared" si="17"/>
        <v>10549.242424242424</v>
      </c>
    </row>
    <row r="346" spans="1:11" x14ac:dyDescent="0.25">
      <c r="A346" t="s">
        <v>1165</v>
      </c>
      <c r="B346">
        <v>2004</v>
      </c>
      <c r="C346" s="8">
        <v>94</v>
      </c>
      <c r="D346" s="8">
        <f t="shared" si="15"/>
        <v>5640</v>
      </c>
      <c r="E346" t="s">
        <v>325</v>
      </c>
      <c r="F346">
        <v>6.1</v>
      </c>
      <c r="G346" t="s">
        <v>1166</v>
      </c>
      <c r="H346" s="11" t="s">
        <v>1167</v>
      </c>
      <c r="I346" s="6">
        <v>51200000</v>
      </c>
      <c r="J346" s="9">
        <f t="shared" si="16"/>
        <v>544680.85106382973</v>
      </c>
      <c r="K346" s="9">
        <f t="shared" si="17"/>
        <v>9078.0141843971633</v>
      </c>
    </row>
    <row r="347" spans="1:11" x14ac:dyDescent="0.25">
      <c r="A347" t="s">
        <v>1169</v>
      </c>
      <c r="B347">
        <v>2012</v>
      </c>
      <c r="C347" s="8">
        <v>89</v>
      </c>
      <c r="D347" s="8">
        <f t="shared" si="15"/>
        <v>5340</v>
      </c>
      <c r="E347" t="s">
        <v>72</v>
      </c>
      <c r="F347">
        <v>6.1</v>
      </c>
      <c r="G347" t="s">
        <v>1170</v>
      </c>
      <c r="H347" s="11">
        <v>39045</v>
      </c>
      <c r="I347" s="6">
        <v>20000</v>
      </c>
      <c r="J347" s="9">
        <f t="shared" si="16"/>
        <v>224.71910112359549</v>
      </c>
      <c r="K347" s="9">
        <f t="shared" si="17"/>
        <v>3.7453183520599249</v>
      </c>
    </row>
    <row r="348" spans="1:11" x14ac:dyDescent="0.25">
      <c r="A348" t="s">
        <v>1171</v>
      </c>
      <c r="B348">
        <v>2008</v>
      </c>
      <c r="C348" s="8">
        <v>108</v>
      </c>
      <c r="D348" s="8">
        <f t="shared" si="15"/>
        <v>6480</v>
      </c>
      <c r="E348" t="s">
        <v>240</v>
      </c>
      <c r="F348">
        <v>6.1</v>
      </c>
      <c r="G348" t="s">
        <v>1022</v>
      </c>
      <c r="H348" s="11">
        <v>29932</v>
      </c>
      <c r="I348" s="6">
        <v>0</v>
      </c>
      <c r="J348" s="9">
        <f t="shared" si="16"/>
        <v>0</v>
      </c>
      <c r="K348" s="9">
        <f t="shared" si="17"/>
        <v>0</v>
      </c>
    </row>
    <row r="349" spans="1:11" x14ac:dyDescent="0.25">
      <c r="A349" t="s">
        <v>1172</v>
      </c>
      <c r="B349">
        <v>2016</v>
      </c>
      <c r="C349" s="8">
        <v>89</v>
      </c>
      <c r="D349" s="8">
        <f t="shared" si="15"/>
        <v>5340</v>
      </c>
      <c r="E349" t="s">
        <v>72</v>
      </c>
      <c r="F349">
        <v>6.1</v>
      </c>
      <c r="G349" t="s">
        <v>1055</v>
      </c>
      <c r="H349" s="11">
        <v>54266</v>
      </c>
      <c r="I349" s="6">
        <v>10160000</v>
      </c>
      <c r="J349" s="9">
        <f t="shared" si="16"/>
        <v>114157.30337078651</v>
      </c>
      <c r="K349" s="9">
        <f t="shared" si="17"/>
        <v>1902.621722846442</v>
      </c>
    </row>
    <row r="350" spans="1:11" x14ac:dyDescent="0.25">
      <c r="A350" t="s">
        <v>1174</v>
      </c>
      <c r="B350">
        <v>2007</v>
      </c>
      <c r="C350" s="8">
        <v>89</v>
      </c>
      <c r="D350" s="8">
        <f t="shared" si="15"/>
        <v>5340</v>
      </c>
      <c r="E350" t="s">
        <v>14</v>
      </c>
      <c r="F350">
        <v>6.1</v>
      </c>
      <c r="G350" t="s">
        <v>103</v>
      </c>
      <c r="H350" s="11">
        <v>98073</v>
      </c>
      <c r="I350" s="6">
        <v>16810000</v>
      </c>
      <c r="J350" s="9">
        <f t="shared" si="16"/>
        <v>188876.40449438203</v>
      </c>
      <c r="K350" s="9">
        <f t="shared" si="17"/>
        <v>3147.940074906367</v>
      </c>
    </row>
    <row r="351" spans="1:11" x14ac:dyDescent="0.25">
      <c r="A351" t="s">
        <v>1176</v>
      </c>
      <c r="B351">
        <v>2008</v>
      </c>
      <c r="C351" s="8">
        <v>110</v>
      </c>
      <c r="D351" s="8">
        <f t="shared" si="15"/>
        <v>6600</v>
      </c>
      <c r="E351" t="s">
        <v>178</v>
      </c>
      <c r="F351">
        <v>6.1</v>
      </c>
      <c r="G351" t="s">
        <v>639</v>
      </c>
      <c r="H351" s="11" t="s">
        <v>1177</v>
      </c>
      <c r="I351" s="6">
        <v>30690000</v>
      </c>
      <c r="J351" s="9">
        <f t="shared" si="16"/>
        <v>279000</v>
      </c>
      <c r="K351" s="9">
        <f t="shared" si="17"/>
        <v>4650</v>
      </c>
    </row>
    <row r="352" spans="1:11" x14ac:dyDescent="0.25">
      <c r="A352" t="s">
        <v>1179</v>
      </c>
      <c r="B352">
        <v>1979</v>
      </c>
      <c r="C352" s="8">
        <v>117</v>
      </c>
      <c r="D352" s="8">
        <f t="shared" si="15"/>
        <v>7020</v>
      </c>
      <c r="E352" t="s">
        <v>30</v>
      </c>
      <c r="F352">
        <v>6.1</v>
      </c>
      <c r="G352" t="s">
        <v>1180</v>
      </c>
      <c r="H352" s="11">
        <v>41808</v>
      </c>
      <c r="I352" s="6">
        <v>86430000</v>
      </c>
      <c r="J352" s="9">
        <f t="shared" si="16"/>
        <v>738717.94871794875</v>
      </c>
      <c r="K352" s="9">
        <f t="shared" si="17"/>
        <v>12311.965811965812</v>
      </c>
    </row>
    <row r="353" spans="1:11" x14ac:dyDescent="0.25">
      <c r="A353" t="s">
        <v>1182</v>
      </c>
      <c r="B353">
        <v>1986</v>
      </c>
      <c r="C353" s="8">
        <v>86</v>
      </c>
      <c r="D353" s="8">
        <f t="shared" si="15"/>
        <v>5160</v>
      </c>
      <c r="E353" t="s">
        <v>296</v>
      </c>
      <c r="F353">
        <v>6.1</v>
      </c>
      <c r="G353" t="s">
        <v>1183</v>
      </c>
      <c r="H353" s="11">
        <v>37388</v>
      </c>
      <c r="I353" s="6">
        <v>13170000</v>
      </c>
      <c r="J353" s="9">
        <f t="shared" si="16"/>
        <v>153139.53488372092</v>
      </c>
      <c r="K353" s="9">
        <f t="shared" si="17"/>
        <v>2552.3255813953488</v>
      </c>
    </row>
    <row r="354" spans="1:11" x14ac:dyDescent="0.25">
      <c r="A354" t="s">
        <v>1185</v>
      </c>
      <c r="B354">
        <v>1998</v>
      </c>
      <c r="C354" s="8">
        <v>106</v>
      </c>
      <c r="D354" s="8">
        <f t="shared" si="15"/>
        <v>6360</v>
      </c>
      <c r="E354" t="s">
        <v>62</v>
      </c>
      <c r="F354">
        <v>6.1</v>
      </c>
      <c r="G354" t="s">
        <v>577</v>
      </c>
      <c r="H354" s="11">
        <v>39064</v>
      </c>
      <c r="I354" s="6">
        <v>11200000</v>
      </c>
      <c r="J354" s="9">
        <f t="shared" si="16"/>
        <v>105660.37735849057</v>
      </c>
      <c r="K354" s="9">
        <f t="shared" si="17"/>
        <v>1761.0062893081761</v>
      </c>
    </row>
    <row r="355" spans="1:11" x14ac:dyDescent="0.25">
      <c r="A355" t="s">
        <v>1187</v>
      </c>
      <c r="B355">
        <v>1998</v>
      </c>
      <c r="C355" s="8">
        <v>108</v>
      </c>
      <c r="D355" s="8">
        <f t="shared" si="15"/>
        <v>6480</v>
      </c>
      <c r="E355" t="s">
        <v>107</v>
      </c>
      <c r="F355">
        <v>6.1</v>
      </c>
      <c r="G355" t="s">
        <v>25</v>
      </c>
      <c r="H355" s="11">
        <v>61502</v>
      </c>
      <c r="I355" s="6">
        <v>20240000</v>
      </c>
      <c r="J355" s="9">
        <f t="shared" si="16"/>
        <v>187407.40740740742</v>
      </c>
      <c r="K355" s="9">
        <f t="shared" si="17"/>
        <v>3123.4567901234568</v>
      </c>
    </row>
    <row r="356" spans="1:11" x14ac:dyDescent="0.25">
      <c r="A356" t="s">
        <v>302</v>
      </c>
      <c r="B356">
        <v>1985</v>
      </c>
      <c r="C356" s="8">
        <v>93</v>
      </c>
      <c r="D356" s="8">
        <f t="shared" si="15"/>
        <v>5580</v>
      </c>
      <c r="E356" t="s">
        <v>187</v>
      </c>
      <c r="F356">
        <v>6.1</v>
      </c>
      <c r="G356" t="s">
        <v>1158</v>
      </c>
      <c r="H356" s="11">
        <v>28520</v>
      </c>
      <c r="I356" s="6">
        <v>19440000</v>
      </c>
      <c r="J356" s="9">
        <f t="shared" si="16"/>
        <v>209032.25806451612</v>
      </c>
      <c r="K356" s="9">
        <f t="shared" si="17"/>
        <v>3483.8709677419356</v>
      </c>
    </row>
    <row r="357" spans="1:11" x14ac:dyDescent="0.25">
      <c r="A357" t="s">
        <v>1190</v>
      </c>
      <c r="B357">
        <v>1983</v>
      </c>
      <c r="C357" s="8">
        <v>93</v>
      </c>
      <c r="D357" s="8">
        <f t="shared" si="15"/>
        <v>5580</v>
      </c>
      <c r="E357" t="s">
        <v>72</v>
      </c>
      <c r="F357">
        <v>6.1</v>
      </c>
      <c r="G357" t="s">
        <v>1010</v>
      </c>
      <c r="H357" s="11">
        <v>48166</v>
      </c>
      <c r="I357" s="6">
        <v>21200000</v>
      </c>
      <c r="J357" s="9">
        <f t="shared" si="16"/>
        <v>227956.98924731184</v>
      </c>
      <c r="K357" s="9">
        <f t="shared" si="17"/>
        <v>3799.2831541218638</v>
      </c>
    </row>
    <row r="358" spans="1:11" x14ac:dyDescent="0.25">
      <c r="A358" t="s">
        <v>1191</v>
      </c>
      <c r="B358">
        <v>2012</v>
      </c>
      <c r="C358" s="8">
        <v>82</v>
      </c>
      <c r="D358" s="8">
        <f t="shared" si="15"/>
        <v>4920</v>
      </c>
      <c r="E358" t="s">
        <v>62</v>
      </c>
      <c r="F358">
        <v>6.1</v>
      </c>
      <c r="G358" t="s">
        <v>993</v>
      </c>
      <c r="H358" s="11">
        <v>51960</v>
      </c>
      <c r="I358" s="6">
        <v>12840000</v>
      </c>
      <c r="J358" s="9">
        <f t="shared" si="16"/>
        <v>156585.36585365853</v>
      </c>
      <c r="K358" s="9">
        <f t="shared" si="17"/>
        <v>2609.7560975609758</v>
      </c>
    </row>
    <row r="359" spans="1:11" x14ac:dyDescent="0.25">
      <c r="A359" t="s">
        <v>1193</v>
      </c>
      <c r="B359">
        <v>2011</v>
      </c>
      <c r="C359" s="8">
        <v>88</v>
      </c>
      <c r="D359" s="8">
        <f t="shared" si="15"/>
        <v>5280</v>
      </c>
      <c r="E359" t="s">
        <v>67</v>
      </c>
      <c r="F359">
        <v>6.1</v>
      </c>
      <c r="G359" t="s">
        <v>1194</v>
      </c>
      <c r="H359" s="11">
        <v>65843</v>
      </c>
      <c r="I359" s="6">
        <v>1100000</v>
      </c>
      <c r="J359" s="9">
        <f t="shared" si="16"/>
        <v>12500</v>
      </c>
      <c r="K359" s="9">
        <f t="shared" si="17"/>
        <v>208.33333333333334</v>
      </c>
    </row>
    <row r="360" spans="1:11" x14ac:dyDescent="0.25">
      <c r="A360" t="s">
        <v>1196</v>
      </c>
      <c r="B360">
        <v>2006</v>
      </c>
      <c r="C360" s="8">
        <v>102</v>
      </c>
      <c r="D360" s="8">
        <f t="shared" si="15"/>
        <v>6120</v>
      </c>
      <c r="E360" t="s">
        <v>39</v>
      </c>
      <c r="F360">
        <v>6.1</v>
      </c>
      <c r="G360" t="s">
        <v>31</v>
      </c>
      <c r="H360" s="11">
        <v>36331</v>
      </c>
      <c r="I360" s="6">
        <v>7010000</v>
      </c>
      <c r="J360" s="9">
        <f t="shared" si="16"/>
        <v>68725.490196078434</v>
      </c>
      <c r="K360" s="9">
        <f t="shared" si="17"/>
        <v>1145.4248366013071</v>
      </c>
    </row>
    <row r="361" spans="1:11" x14ac:dyDescent="0.25">
      <c r="A361" t="s">
        <v>1199</v>
      </c>
      <c r="B361">
        <v>2011</v>
      </c>
      <c r="C361" s="8">
        <v>86</v>
      </c>
      <c r="D361" s="8">
        <f t="shared" si="15"/>
        <v>5160</v>
      </c>
      <c r="E361" t="s">
        <v>116</v>
      </c>
      <c r="F361">
        <v>6.1</v>
      </c>
      <c r="G361" t="s">
        <v>1200</v>
      </c>
      <c r="H361" s="11">
        <v>47548</v>
      </c>
      <c r="I361" s="6">
        <v>700000</v>
      </c>
      <c r="J361" s="9">
        <f t="shared" si="16"/>
        <v>8139.5348837209303</v>
      </c>
      <c r="K361" s="9">
        <f t="shared" si="17"/>
        <v>135.65891472868216</v>
      </c>
    </row>
    <row r="362" spans="1:11" x14ac:dyDescent="0.25">
      <c r="A362" t="s">
        <v>1202</v>
      </c>
      <c r="B362">
        <v>2021</v>
      </c>
      <c r="C362" s="8">
        <v>98</v>
      </c>
      <c r="D362" s="8">
        <f t="shared" si="15"/>
        <v>5880</v>
      </c>
      <c r="E362" t="s">
        <v>67</v>
      </c>
      <c r="F362">
        <v>6</v>
      </c>
      <c r="G362" t="s">
        <v>1203</v>
      </c>
      <c r="H362" s="11">
        <v>63822</v>
      </c>
      <c r="I362" s="6">
        <v>32640000</v>
      </c>
      <c r="J362" s="9">
        <f t="shared" si="16"/>
        <v>333061.22448979592</v>
      </c>
      <c r="K362" s="9">
        <f t="shared" si="17"/>
        <v>5551.0204081632655</v>
      </c>
    </row>
    <row r="363" spans="1:11" x14ac:dyDescent="0.25">
      <c r="A363" t="s">
        <v>1205</v>
      </c>
      <c r="B363">
        <v>2003</v>
      </c>
      <c r="C363" s="8">
        <v>89</v>
      </c>
      <c r="D363" s="8">
        <f t="shared" si="15"/>
        <v>5340</v>
      </c>
      <c r="E363" t="s">
        <v>30</v>
      </c>
      <c r="F363">
        <v>6</v>
      </c>
      <c r="G363" t="s">
        <v>621</v>
      </c>
      <c r="H363" s="11">
        <v>89420</v>
      </c>
      <c r="I363" s="6">
        <v>12630000</v>
      </c>
      <c r="J363" s="9">
        <f t="shared" si="16"/>
        <v>141910.11235955055</v>
      </c>
      <c r="K363" s="9">
        <f t="shared" si="17"/>
        <v>2365.1685393258426</v>
      </c>
    </row>
    <row r="364" spans="1:11" x14ac:dyDescent="0.25">
      <c r="A364" t="s">
        <v>94</v>
      </c>
      <c r="B364">
        <v>2007</v>
      </c>
      <c r="C364" s="8">
        <v>109</v>
      </c>
      <c r="D364" s="8">
        <f t="shared" si="15"/>
        <v>6540</v>
      </c>
      <c r="E364" t="s">
        <v>30</v>
      </c>
      <c r="F364">
        <v>6</v>
      </c>
      <c r="G364" t="s">
        <v>621</v>
      </c>
      <c r="H364" s="11" t="s">
        <v>1207</v>
      </c>
      <c r="I364" s="6">
        <v>58270000</v>
      </c>
      <c r="J364" s="9">
        <f t="shared" si="16"/>
        <v>534587.15596330271</v>
      </c>
      <c r="K364" s="9">
        <f t="shared" si="17"/>
        <v>8909.785932721712</v>
      </c>
    </row>
    <row r="365" spans="1:11" x14ac:dyDescent="0.25">
      <c r="A365" t="s">
        <v>1209</v>
      </c>
      <c r="B365">
        <v>2016</v>
      </c>
      <c r="C365" s="8">
        <v>97</v>
      </c>
      <c r="D365" s="8">
        <f t="shared" si="15"/>
        <v>5820</v>
      </c>
      <c r="E365" t="s">
        <v>14</v>
      </c>
      <c r="F365">
        <v>6</v>
      </c>
      <c r="G365" t="s">
        <v>1210</v>
      </c>
      <c r="H365" s="11">
        <v>97224</v>
      </c>
      <c r="I365" s="6">
        <v>35820000</v>
      </c>
      <c r="J365" s="9">
        <f t="shared" si="16"/>
        <v>369278.35051546391</v>
      </c>
      <c r="K365" s="9">
        <f t="shared" si="17"/>
        <v>6154.6391752577319</v>
      </c>
    </row>
    <row r="366" spans="1:11" x14ac:dyDescent="0.25">
      <c r="A366" t="s">
        <v>1212</v>
      </c>
      <c r="B366">
        <v>1984</v>
      </c>
      <c r="C366" s="8">
        <v>91</v>
      </c>
      <c r="D366" s="8">
        <f t="shared" si="15"/>
        <v>5460</v>
      </c>
      <c r="E366" t="s">
        <v>72</v>
      </c>
      <c r="F366">
        <v>6</v>
      </c>
      <c r="G366" t="s">
        <v>1213</v>
      </c>
      <c r="H366" s="11">
        <v>55244</v>
      </c>
      <c r="I366" s="6">
        <v>32980000</v>
      </c>
      <c r="J366" s="9">
        <f t="shared" si="16"/>
        <v>362417.58241758239</v>
      </c>
      <c r="K366" s="9">
        <f t="shared" si="17"/>
        <v>6040.2930402930406</v>
      </c>
    </row>
    <row r="367" spans="1:11" x14ac:dyDescent="0.25">
      <c r="A367" t="s">
        <v>1215</v>
      </c>
      <c r="B367">
        <v>2008</v>
      </c>
      <c r="C367" s="8">
        <v>100</v>
      </c>
      <c r="D367" s="8">
        <f t="shared" si="15"/>
        <v>6000</v>
      </c>
      <c r="E367" t="s">
        <v>14</v>
      </c>
      <c r="F367">
        <v>6</v>
      </c>
      <c r="G367" t="s">
        <v>1216</v>
      </c>
      <c r="H367" s="11">
        <v>67602</v>
      </c>
      <c r="I367" s="6">
        <v>80000</v>
      </c>
      <c r="J367" s="9">
        <f t="shared" si="16"/>
        <v>800</v>
      </c>
      <c r="K367" s="9">
        <f t="shared" si="17"/>
        <v>13.333333333333334</v>
      </c>
    </row>
    <row r="368" spans="1:11" x14ac:dyDescent="0.25">
      <c r="A368" t="s">
        <v>1217</v>
      </c>
      <c r="B368">
        <v>2016</v>
      </c>
      <c r="C368" s="8">
        <v>108</v>
      </c>
      <c r="D368" s="8">
        <f t="shared" si="15"/>
        <v>6480</v>
      </c>
      <c r="E368" t="s">
        <v>325</v>
      </c>
      <c r="F368">
        <v>6</v>
      </c>
      <c r="G368" t="s">
        <v>895</v>
      </c>
      <c r="H368" s="11" t="s">
        <v>1218</v>
      </c>
      <c r="I368" s="6">
        <v>79210000</v>
      </c>
      <c r="J368" s="9">
        <f t="shared" si="16"/>
        <v>733425.92592592596</v>
      </c>
      <c r="K368" s="9">
        <f t="shared" si="17"/>
        <v>12223.765432098766</v>
      </c>
    </row>
    <row r="369" spans="1:11" x14ac:dyDescent="0.25">
      <c r="A369" t="s">
        <v>1220</v>
      </c>
      <c r="B369">
        <v>2018</v>
      </c>
      <c r="C369" s="8">
        <v>92</v>
      </c>
      <c r="D369" s="8">
        <f t="shared" si="15"/>
        <v>5520</v>
      </c>
      <c r="E369" t="s">
        <v>14</v>
      </c>
      <c r="F369">
        <v>6</v>
      </c>
      <c r="G369" t="s">
        <v>1221</v>
      </c>
      <c r="H369" s="11">
        <v>35242</v>
      </c>
      <c r="I369" s="6">
        <v>8780000</v>
      </c>
      <c r="J369" s="9">
        <f t="shared" si="16"/>
        <v>95434.782608695648</v>
      </c>
      <c r="K369" s="9">
        <f t="shared" si="17"/>
        <v>1590.5797101449275</v>
      </c>
    </row>
    <row r="370" spans="1:11" x14ac:dyDescent="0.25">
      <c r="A370" t="s">
        <v>1223</v>
      </c>
      <c r="B370">
        <v>1997</v>
      </c>
      <c r="C370" s="8">
        <v>105</v>
      </c>
      <c r="D370" s="8">
        <f t="shared" si="15"/>
        <v>6300</v>
      </c>
      <c r="E370" t="s">
        <v>9</v>
      </c>
      <c r="F370">
        <v>6</v>
      </c>
      <c r="G370" t="s">
        <v>236</v>
      </c>
      <c r="H370" s="11">
        <v>53560</v>
      </c>
      <c r="I370" s="6">
        <v>25480000</v>
      </c>
      <c r="J370" s="9">
        <f t="shared" si="16"/>
        <v>242666.66666666666</v>
      </c>
      <c r="K370" s="9">
        <f t="shared" si="17"/>
        <v>4044.4444444444443</v>
      </c>
    </row>
    <row r="371" spans="1:11" x14ac:dyDescent="0.25">
      <c r="A371" t="s">
        <v>1225</v>
      </c>
      <c r="B371">
        <v>1986</v>
      </c>
      <c r="C371" s="8">
        <v>86</v>
      </c>
      <c r="D371" s="8">
        <f t="shared" si="15"/>
        <v>5160</v>
      </c>
      <c r="E371" t="s">
        <v>72</v>
      </c>
      <c r="F371">
        <v>6</v>
      </c>
      <c r="G371" t="s">
        <v>1226</v>
      </c>
      <c r="H371" s="11">
        <v>47804</v>
      </c>
      <c r="I371" s="6">
        <v>19470000</v>
      </c>
      <c r="J371" s="9">
        <f t="shared" si="16"/>
        <v>226395.34883720931</v>
      </c>
      <c r="K371" s="9">
        <f t="shared" si="17"/>
        <v>3773.2558139534885</v>
      </c>
    </row>
    <row r="372" spans="1:11" x14ac:dyDescent="0.25">
      <c r="A372" t="s">
        <v>1228</v>
      </c>
      <c r="B372">
        <v>2019</v>
      </c>
      <c r="C372" s="8">
        <v>109</v>
      </c>
      <c r="D372" s="8">
        <f t="shared" si="15"/>
        <v>6540</v>
      </c>
      <c r="E372" t="s">
        <v>325</v>
      </c>
      <c r="F372">
        <v>6</v>
      </c>
      <c r="G372" t="s">
        <v>1229</v>
      </c>
      <c r="H372" s="11">
        <v>55880</v>
      </c>
      <c r="I372" s="6">
        <v>5960000</v>
      </c>
      <c r="J372" s="9">
        <f t="shared" si="16"/>
        <v>54678.899082568809</v>
      </c>
      <c r="K372" s="9">
        <f t="shared" si="17"/>
        <v>911.31498470948009</v>
      </c>
    </row>
    <row r="373" spans="1:11" x14ac:dyDescent="0.25">
      <c r="A373" t="s">
        <v>1231</v>
      </c>
      <c r="B373">
        <v>2009</v>
      </c>
      <c r="C373" s="8">
        <v>90</v>
      </c>
      <c r="D373" s="8">
        <f t="shared" si="15"/>
        <v>5400</v>
      </c>
      <c r="E373" t="s">
        <v>14</v>
      </c>
      <c r="F373">
        <v>6</v>
      </c>
      <c r="G373" t="s">
        <v>1232</v>
      </c>
      <c r="H373" s="11" t="s">
        <v>1233</v>
      </c>
      <c r="I373" s="6">
        <v>27690000</v>
      </c>
      <c r="J373" s="9">
        <f t="shared" si="16"/>
        <v>307666.66666666669</v>
      </c>
      <c r="K373" s="9">
        <f t="shared" si="17"/>
        <v>5127.7777777777774</v>
      </c>
    </row>
    <row r="374" spans="1:11" x14ac:dyDescent="0.25">
      <c r="A374" t="s">
        <v>1235</v>
      </c>
      <c r="B374">
        <v>1987</v>
      </c>
      <c r="C374" s="8">
        <v>92</v>
      </c>
      <c r="D374" s="8">
        <f t="shared" si="15"/>
        <v>5520</v>
      </c>
      <c r="E374" t="s">
        <v>48</v>
      </c>
      <c r="F374">
        <v>6</v>
      </c>
      <c r="G374" t="s">
        <v>1236</v>
      </c>
      <c r="H374" s="11">
        <v>27039</v>
      </c>
      <c r="I374" s="6">
        <v>14000000</v>
      </c>
      <c r="J374" s="9">
        <f t="shared" si="16"/>
        <v>152173.91304347827</v>
      </c>
      <c r="K374" s="9">
        <f t="shared" si="17"/>
        <v>2536.231884057971</v>
      </c>
    </row>
    <row r="375" spans="1:11" x14ac:dyDescent="0.25">
      <c r="A375" t="s">
        <v>1238</v>
      </c>
      <c r="B375">
        <v>2011</v>
      </c>
      <c r="C375" s="8">
        <v>114</v>
      </c>
      <c r="D375" s="8">
        <f t="shared" si="15"/>
        <v>6840</v>
      </c>
      <c r="E375" t="s">
        <v>42</v>
      </c>
      <c r="F375">
        <v>6</v>
      </c>
      <c r="G375" t="s">
        <v>578</v>
      </c>
      <c r="H375" s="11" t="s">
        <v>1239</v>
      </c>
      <c r="I375" s="6">
        <v>33050000</v>
      </c>
      <c r="J375" s="9">
        <f t="shared" si="16"/>
        <v>289912.28070175438</v>
      </c>
      <c r="K375" s="9">
        <f t="shared" si="17"/>
        <v>4831.8713450292398</v>
      </c>
    </row>
    <row r="376" spans="1:11" x14ac:dyDescent="0.25">
      <c r="A376" t="s">
        <v>1241</v>
      </c>
      <c r="B376">
        <v>1984</v>
      </c>
      <c r="C376" s="8">
        <v>114</v>
      </c>
      <c r="D376" s="8">
        <f t="shared" si="15"/>
        <v>6840</v>
      </c>
      <c r="E376" t="s">
        <v>325</v>
      </c>
      <c r="F376">
        <v>6</v>
      </c>
      <c r="G376" t="s">
        <v>1242</v>
      </c>
      <c r="H376" s="11">
        <v>35640</v>
      </c>
      <c r="I376" s="6">
        <v>15100000</v>
      </c>
      <c r="J376" s="9">
        <f t="shared" si="16"/>
        <v>132456.14035087719</v>
      </c>
      <c r="K376" s="9">
        <f t="shared" si="17"/>
        <v>2207.6023391812864</v>
      </c>
    </row>
    <row r="377" spans="1:11" x14ac:dyDescent="0.25">
      <c r="A377" t="s">
        <v>1244</v>
      </c>
      <c r="B377">
        <v>2013</v>
      </c>
      <c r="C377" s="8">
        <v>96</v>
      </c>
      <c r="D377" s="8">
        <f t="shared" si="15"/>
        <v>5760</v>
      </c>
      <c r="E377" t="s">
        <v>9</v>
      </c>
      <c r="F377">
        <v>6</v>
      </c>
      <c r="G377" t="s">
        <v>1245</v>
      </c>
      <c r="H377" s="11">
        <v>41967</v>
      </c>
      <c r="I377" s="6">
        <v>20000</v>
      </c>
      <c r="J377" s="9">
        <f t="shared" si="16"/>
        <v>208.33333333333334</v>
      </c>
      <c r="K377" s="9">
        <f t="shared" si="17"/>
        <v>3.4722222222222223</v>
      </c>
    </row>
    <row r="378" spans="1:11" x14ac:dyDescent="0.25">
      <c r="A378" t="s">
        <v>1246</v>
      </c>
      <c r="B378">
        <v>2005</v>
      </c>
      <c r="C378" s="8">
        <v>94</v>
      </c>
      <c r="D378" s="8">
        <f t="shared" si="15"/>
        <v>5640</v>
      </c>
      <c r="E378" t="s">
        <v>30</v>
      </c>
      <c r="F378">
        <v>5.9</v>
      </c>
      <c r="G378" t="s">
        <v>1247</v>
      </c>
      <c r="H378" s="11" t="s">
        <v>1248</v>
      </c>
      <c r="I378" s="6">
        <v>47330000</v>
      </c>
      <c r="J378" s="9">
        <f t="shared" si="16"/>
        <v>503510.63829787233</v>
      </c>
      <c r="K378" s="9">
        <f t="shared" si="17"/>
        <v>8391.8439716312059</v>
      </c>
    </row>
    <row r="379" spans="1:11" x14ac:dyDescent="0.25">
      <c r="A379" t="s">
        <v>1250</v>
      </c>
      <c r="B379">
        <v>2020</v>
      </c>
      <c r="C379" s="8">
        <v>95</v>
      </c>
      <c r="D379" s="8">
        <f t="shared" si="15"/>
        <v>5700</v>
      </c>
      <c r="E379" t="s">
        <v>325</v>
      </c>
      <c r="F379">
        <v>5.9</v>
      </c>
      <c r="G379" t="s">
        <v>1251</v>
      </c>
      <c r="H379" s="11">
        <v>88253</v>
      </c>
      <c r="I379" s="6">
        <v>17290000</v>
      </c>
      <c r="J379" s="9">
        <f t="shared" si="16"/>
        <v>182000</v>
      </c>
      <c r="K379" s="9">
        <f t="shared" si="17"/>
        <v>3033.3333333333335</v>
      </c>
    </row>
    <row r="380" spans="1:11" x14ac:dyDescent="0.25">
      <c r="A380" t="s">
        <v>1253</v>
      </c>
      <c r="B380">
        <v>2012</v>
      </c>
      <c r="C380" s="8">
        <v>105</v>
      </c>
      <c r="D380" s="8">
        <f t="shared" si="15"/>
        <v>6300</v>
      </c>
      <c r="E380" t="s">
        <v>438</v>
      </c>
      <c r="F380">
        <v>5.9</v>
      </c>
      <c r="G380" t="s">
        <v>950</v>
      </c>
      <c r="H380" s="11" t="s">
        <v>1254</v>
      </c>
      <c r="I380" s="6">
        <v>37520000</v>
      </c>
      <c r="J380" s="9">
        <f t="shared" si="16"/>
        <v>357333.33333333331</v>
      </c>
      <c r="K380" s="9">
        <f t="shared" si="17"/>
        <v>5955.5555555555557</v>
      </c>
    </row>
    <row r="381" spans="1:11" x14ac:dyDescent="0.25">
      <c r="A381" t="s">
        <v>641</v>
      </c>
      <c r="B381">
        <v>2021</v>
      </c>
      <c r="C381" s="8">
        <v>91</v>
      </c>
      <c r="D381" s="8">
        <f t="shared" si="15"/>
        <v>5460</v>
      </c>
      <c r="E381" t="s">
        <v>72</v>
      </c>
      <c r="F381">
        <v>5.9</v>
      </c>
      <c r="G381" t="s">
        <v>1256</v>
      </c>
      <c r="H381" s="11">
        <v>70762</v>
      </c>
      <c r="I381" s="6">
        <v>61190000</v>
      </c>
      <c r="J381" s="9">
        <f t="shared" si="16"/>
        <v>672417.58241758239</v>
      </c>
      <c r="K381" s="9">
        <f t="shared" si="17"/>
        <v>11206.959706959708</v>
      </c>
    </row>
    <row r="382" spans="1:11" x14ac:dyDescent="0.25">
      <c r="A382" t="s">
        <v>787</v>
      </c>
      <c r="B382">
        <v>1972</v>
      </c>
      <c r="C382" s="8">
        <v>84</v>
      </c>
      <c r="D382" s="8">
        <f t="shared" si="15"/>
        <v>5040</v>
      </c>
      <c r="E382" t="s">
        <v>369</v>
      </c>
      <c r="F382">
        <v>5.9</v>
      </c>
      <c r="G382" t="s">
        <v>198</v>
      </c>
      <c r="H382" s="11">
        <v>38780</v>
      </c>
      <c r="I382" s="6">
        <v>3100000</v>
      </c>
      <c r="J382" s="9">
        <f t="shared" si="16"/>
        <v>36904.761904761908</v>
      </c>
      <c r="K382" s="9">
        <f t="shared" si="17"/>
        <v>615.07936507936506</v>
      </c>
    </row>
    <row r="383" spans="1:11" x14ac:dyDescent="0.25">
      <c r="A383" t="s">
        <v>1179</v>
      </c>
      <c r="B383">
        <v>2005</v>
      </c>
      <c r="C383" s="8">
        <v>90</v>
      </c>
      <c r="D383" s="8">
        <f t="shared" si="15"/>
        <v>5400</v>
      </c>
      <c r="E383" t="s">
        <v>30</v>
      </c>
      <c r="F383">
        <v>5.9</v>
      </c>
      <c r="G383" t="s">
        <v>1259</v>
      </c>
      <c r="H383" s="11" t="s">
        <v>1260</v>
      </c>
      <c r="I383" s="6">
        <v>65230000</v>
      </c>
      <c r="J383" s="9">
        <f t="shared" si="16"/>
        <v>724777.77777777775</v>
      </c>
      <c r="K383" s="9">
        <f t="shared" si="17"/>
        <v>12079.62962962963</v>
      </c>
    </row>
    <row r="384" spans="1:11" x14ac:dyDescent="0.25">
      <c r="A384" t="s">
        <v>1262</v>
      </c>
      <c r="B384">
        <v>2019</v>
      </c>
      <c r="C384" s="8">
        <v>106</v>
      </c>
      <c r="D384" s="8">
        <f t="shared" si="15"/>
        <v>6360</v>
      </c>
      <c r="E384" t="s">
        <v>14</v>
      </c>
      <c r="F384">
        <v>5.9</v>
      </c>
      <c r="G384" t="s">
        <v>1263</v>
      </c>
      <c r="H384" s="11">
        <v>80369</v>
      </c>
      <c r="I384" s="6">
        <v>74150000</v>
      </c>
      <c r="J384" s="9">
        <f t="shared" si="16"/>
        <v>699528.30188679241</v>
      </c>
      <c r="K384" s="9">
        <f t="shared" si="17"/>
        <v>11658.805031446542</v>
      </c>
    </row>
    <row r="385" spans="1:11" x14ac:dyDescent="0.25">
      <c r="A385" t="s">
        <v>1265</v>
      </c>
      <c r="B385">
        <v>2011</v>
      </c>
      <c r="C385" s="8">
        <v>92</v>
      </c>
      <c r="D385" s="8">
        <f t="shared" si="15"/>
        <v>5520</v>
      </c>
      <c r="E385" t="s">
        <v>72</v>
      </c>
      <c r="F385">
        <v>5.9</v>
      </c>
      <c r="G385" t="s">
        <v>1266</v>
      </c>
      <c r="H385" s="11" t="s">
        <v>1267</v>
      </c>
      <c r="I385" s="6">
        <v>42590000</v>
      </c>
      <c r="J385" s="9">
        <f t="shared" si="16"/>
        <v>462934.78260869568</v>
      </c>
      <c r="K385" s="9">
        <f t="shared" si="17"/>
        <v>7715.579710144928</v>
      </c>
    </row>
    <row r="386" spans="1:11" x14ac:dyDescent="0.25">
      <c r="A386" t="s">
        <v>1268</v>
      </c>
      <c r="B386">
        <v>2004</v>
      </c>
      <c r="C386" s="8">
        <v>91</v>
      </c>
      <c r="D386" s="8">
        <f t="shared" si="15"/>
        <v>5460</v>
      </c>
      <c r="E386" t="s">
        <v>14</v>
      </c>
      <c r="F386">
        <v>5.9</v>
      </c>
      <c r="G386" t="s">
        <v>672</v>
      </c>
      <c r="H386" s="11" t="s">
        <v>1269</v>
      </c>
      <c r="I386" s="6">
        <v>110360000</v>
      </c>
      <c r="J386" s="9">
        <f t="shared" si="16"/>
        <v>1212747.2527472528</v>
      </c>
      <c r="K386" s="9">
        <f t="shared" si="17"/>
        <v>20212.454212454213</v>
      </c>
    </row>
    <row r="387" spans="1:11" x14ac:dyDescent="0.25">
      <c r="A387" t="s">
        <v>1271</v>
      </c>
      <c r="B387">
        <v>2016</v>
      </c>
      <c r="C387" s="8">
        <v>90</v>
      </c>
      <c r="D387" s="8">
        <f t="shared" ref="D387:D450" si="18">C387*60</f>
        <v>5400</v>
      </c>
      <c r="E387" t="s">
        <v>24</v>
      </c>
      <c r="F387">
        <v>5.9</v>
      </c>
      <c r="G387" t="s">
        <v>1272</v>
      </c>
      <c r="H387" s="11">
        <v>39049</v>
      </c>
      <c r="I387" s="6">
        <v>150000</v>
      </c>
      <c r="J387" s="9">
        <f t="shared" ref="J387:J450" si="19">I387/C387</f>
        <v>1666.6666666666667</v>
      </c>
      <c r="K387" s="9">
        <f t="shared" ref="K387:K450" si="20">I387/D387</f>
        <v>27.777777777777779</v>
      </c>
    </row>
    <row r="388" spans="1:11" x14ac:dyDescent="0.25">
      <c r="A388" t="s">
        <v>53</v>
      </c>
      <c r="B388">
        <v>1976</v>
      </c>
      <c r="C388" s="8">
        <v>134</v>
      </c>
      <c r="D388" s="8">
        <f t="shared" si="18"/>
        <v>8040</v>
      </c>
      <c r="E388" t="s">
        <v>1273</v>
      </c>
      <c r="F388">
        <v>5.9</v>
      </c>
      <c r="G388" t="s">
        <v>1274</v>
      </c>
      <c r="H388" s="11">
        <v>34098</v>
      </c>
      <c r="I388" s="6">
        <v>52610000</v>
      </c>
      <c r="J388" s="9">
        <f t="shared" si="19"/>
        <v>392611.94029850746</v>
      </c>
      <c r="K388" s="9">
        <f t="shared" si="20"/>
        <v>6543.5323383084578</v>
      </c>
    </row>
    <row r="389" spans="1:11" x14ac:dyDescent="0.25">
      <c r="A389" t="s">
        <v>1276</v>
      </c>
      <c r="B389">
        <v>2009</v>
      </c>
      <c r="C389" s="8">
        <v>98</v>
      </c>
      <c r="D389" s="8">
        <f t="shared" si="18"/>
        <v>5880</v>
      </c>
      <c r="E389" t="s">
        <v>24</v>
      </c>
      <c r="F389">
        <v>5.9</v>
      </c>
      <c r="G389" t="s">
        <v>1277</v>
      </c>
      <c r="H389" s="11">
        <v>79762</v>
      </c>
      <c r="I389" s="6">
        <v>25460000</v>
      </c>
      <c r="J389" s="9">
        <f t="shared" si="19"/>
        <v>259795.91836734695</v>
      </c>
      <c r="K389" s="9">
        <f t="shared" si="20"/>
        <v>4329.9319727891152</v>
      </c>
    </row>
    <row r="390" spans="1:11" x14ac:dyDescent="0.25">
      <c r="A390" t="s">
        <v>1279</v>
      </c>
      <c r="B390">
        <v>2005</v>
      </c>
      <c r="C390" s="8">
        <v>118</v>
      </c>
      <c r="D390" s="8">
        <f t="shared" si="18"/>
        <v>7080</v>
      </c>
      <c r="E390" t="s">
        <v>675</v>
      </c>
      <c r="F390">
        <v>5.9</v>
      </c>
      <c r="G390" t="s">
        <v>1030</v>
      </c>
      <c r="H390" s="11" t="s">
        <v>1280</v>
      </c>
      <c r="I390" s="6">
        <v>37920000</v>
      </c>
      <c r="J390" s="9">
        <f t="shared" si="19"/>
        <v>321355.93220338982</v>
      </c>
      <c r="K390" s="9">
        <f t="shared" si="20"/>
        <v>5355.9322033898306</v>
      </c>
    </row>
    <row r="391" spans="1:11" x14ac:dyDescent="0.25">
      <c r="A391" t="s">
        <v>1282</v>
      </c>
      <c r="B391">
        <v>2005</v>
      </c>
      <c r="C391" s="8">
        <v>101</v>
      </c>
      <c r="D391" s="8">
        <f t="shared" si="18"/>
        <v>6060</v>
      </c>
      <c r="E391" t="s">
        <v>178</v>
      </c>
      <c r="F391">
        <v>5.9</v>
      </c>
      <c r="G391" t="s">
        <v>1283</v>
      </c>
      <c r="H391" s="11">
        <v>87067</v>
      </c>
      <c r="I391" s="6">
        <v>51100000</v>
      </c>
      <c r="J391" s="9">
        <f t="shared" si="19"/>
        <v>505940.59405940596</v>
      </c>
      <c r="K391" s="9">
        <f t="shared" si="20"/>
        <v>8432.3432343234326</v>
      </c>
    </row>
    <row r="392" spans="1:11" x14ac:dyDescent="0.25">
      <c r="A392" t="s">
        <v>1285</v>
      </c>
      <c r="B392">
        <v>2012</v>
      </c>
      <c r="C392" s="8">
        <v>92</v>
      </c>
      <c r="D392" s="8">
        <f t="shared" si="18"/>
        <v>5520</v>
      </c>
      <c r="E392" t="s">
        <v>14</v>
      </c>
      <c r="F392">
        <v>5.9</v>
      </c>
      <c r="G392" t="s">
        <v>1286</v>
      </c>
      <c r="H392" s="11">
        <v>61689</v>
      </c>
      <c r="I392" s="6">
        <v>49130000</v>
      </c>
      <c r="J392" s="9">
        <f t="shared" si="19"/>
        <v>534021.73913043481</v>
      </c>
      <c r="K392" s="9">
        <f t="shared" si="20"/>
        <v>8900.36231884058</v>
      </c>
    </row>
    <row r="393" spans="1:11" x14ac:dyDescent="0.25">
      <c r="A393" t="s">
        <v>1288</v>
      </c>
      <c r="B393">
        <v>2008</v>
      </c>
      <c r="C393" s="8">
        <v>90</v>
      </c>
      <c r="D393" s="8">
        <f t="shared" si="18"/>
        <v>5400</v>
      </c>
      <c r="E393" t="s">
        <v>320</v>
      </c>
      <c r="F393">
        <v>5.9</v>
      </c>
      <c r="G393" t="s">
        <v>1289</v>
      </c>
      <c r="H393" s="11">
        <v>77800</v>
      </c>
      <c r="I393" s="6">
        <v>17430000</v>
      </c>
      <c r="J393" s="9">
        <f t="shared" si="19"/>
        <v>193666.66666666666</v>
      </c>
      <c r="K393" s="9">
        <f t="shared" si="20"/>
        <v>3227.7777777777778</v>
      </c>
    </row>
    <row r="394" spans="1:11" x14ac:dyDescent="0.25">
      <c r="A394" t="s">
        <v>1291</v>
      </c>
      <c r="B394">
        <v>2007</v>
      </c>
      <c r="C394" s="8">
        <v>93</v>
      </c>
      <c r="D394" s="8">
        <f t="shared" si="18"/>
        <v>5580</v>
      </c>
      <c r="E394" t="s">
        <v>14</v>
      </c>
      <c r="F394">
        <v>5.9</v>
      </c>
      <c r="G394" t="s">
        <v>738</v>
      </c>
      <c r="H394" s="11" t="s">
        <v>1292</v>
      </c>
      <c r="I394" s="6">
        <v>63300000</v>
      </c>
      <c r="J394" s="9">
        <f t="shared" si="19"/>
        <v>680645.16129032255</v>
      </c>
      <c r="K394" s="9">
        <f t="shared" si="20"/>
        <v>11344.086021505376</v>
      </c>
    </row>
    <row r="395" spans="1:11" x14ac:dyDescent="0.25">
      <c r="A395" t="s">
        <v>1294</v>
      </c>
      <c r="B395">
        <v>1990</v>
      </c>
      <c r="C395" s="8">
        <v>84</v>
      </c>
      <c r="D395" s="8">
        <f t="shared" si="18"/>
        <v>5040</v>
      </c>
      <c r="E395" t="s">
        <v>72</v>
      </c>
      <c r="F395">
        <v>5.9</v>
      </c>
      <c r="G395" t="s">
        <v>1295</v>
      </c>
      <c r="H395" s="11">
        <v>54569</v>
      </c>
      <c r="I395" s="6">
        <v>28500000</v>
      </c>
      <c r="J395" s="9">
        <f t="shared" si="19"/>
        <v>339285.71428571426</v>
      </c>
      <c r="K395" s="9">
        <f t="shared" si="20"/>
        <v>5654.7619047619046</v>
      </c>
    </row>
    <row r="396" spans="1:11" x14ac:dyDescent="0.25">
      <c r="A396" t="s">
        <v>1297</v>
      </c>
      <c r="B396">
        <v>2015</v>
      </c>
      <c r="C396" s="8">
        <v>110</v>
      </c>
      <c r="D396" s="8">
        <f t="shared" si="18"/>
        <v>6600</v>
      </c>
      <c r="E396" t="s">
        <v>83</v>
      </c>
      <c r="F396">
        <v>5.9</v>
      </c>
      <c r="G396" t="s">
        <v>1298</v>
      </c>
      <c r="H396" s="11">
        <v>58423</v>
      </c>
      <c r="I396" s="6">
        <v>5780000</v>
      </c>
      <c r="J396" s="9">
        <f t="shared" si="19"/>
        <v>52545.454545454544</v>
      </c>
      <c r="K396" s="9">
        <f t="shared" si="20"/>
        <v>875.75757575757575</v>
      </c>
    </row>
    <row r="397" spans="1:11" x14ac:dyDescent="0.25">
      <c r="A397" t="s">
        <v>1299</v>
      </c>
      <c r="B397">
        <v>2008</v>
      </c>
      <c r="C397" s="8">
        <v>104</v>
      </c>
      <c r="D397" s="8">
        <f t="shared" si="18"/>
        <v>6240</v>
      </c>
      <c r="E397" t="s">
        <v>35</v>
      </c>
      <c r="F397">
        <v>5.9</v>
      </c>
      <c r="G397" t="s">
        <v>1300</v>
      </c>
      <c r="H397" s="11">
        <v>92694</v>
      </c>
      <c r="I397" s="6">
        <v>20980000</v>
      </c>
      <c r="J397" s="9">
        <f t="shared" si="19"/>
        <v>201730.76923076922</v>
      </c>
      <c r="K397" s="9">
        <f t="shared" si="20"/>
        <v>3362.1794871794873</v>
      </c>
    </row>
    <row r="398" spans="1:11" x14ac:dyDescent="0.25">
      <c r="A398" t="s">
        <v>1302</v>
      </c>
      <c r="B398">
        <v>2008</v>
      </c>
      <c r="C398" s="8">
        <v>89</v>
      </c>
      <c r="D398" s="8">
        <f t="shared" si="18"/>
        <v>5340</v>
      </c>
      <c r="E398" t="s">
        <v>344</v>
      </c>
      <c r="F398">
        <v>5.9</v>
      </c>
      <c r="G398" t="s">
        <v>981</v>
      </c>
      <c r="H398" s="11">
        <v>75253</v>
      </c>
      <c r="I398" s="6">
        <v>31690000</v>
      </c>
      <c r="J398" s="9">
        <f t="shared" si="19"/>
        <v>356067.41573033709</v>
      </c>
      <c r="K398" s="9">
        <f t="shared" si="20"/>
        <v>5934.4569288389512</v>
      </c>
    </row>
    <row r="399" spans="1:11" x14ac:dyDescent="0.25">
      <c r="A399" t="s">
        <v>1304</v>
      </c>
      <c r="B399">
        <v>2007</v>
      </c>
      <c r="C399" s="8">
        <v>98</v>
      </c>
      <c r="D399" s="8">
        <f t="shared" si="18"/>
        <v>5880</v>
      </c>
      <c r="E399" t="s">
        <v>369</v>
      </c>
      <c r="F399">
        <v>5.9</v>
      </c>
      <c r="G399" t="s">
        <v>1170</v>
      </c>
      <c r="H399" s="11">
        <v>35242</v>
      </c>
      <c r="I399" s="6">
        <v>3990000</v>
      </c>
      <c r="J399" s="9">
        <f t="shared" si="19"/>
        <v>40714.285714285717</v>
      </c>
      <c r="K399" s="9">
        <f t="shared" si="20"/>
        <v>678.57142857142856</v>
      </c>
    </row>
    <row r="400" spans="1:11" x14ac:dyDescent="0.25">
      <c r="A400" t="s">
        <v>1306</v>
      </c>
      <c r="B400">
        <v>2008</v>
      </c>
      <c r="C400" s="8">
        <v>95</v>
      </c>
      <c r="D400" s="8">
        <f t="shared" si="18"/>
        <v>5700</v>
      </c>
      <c r="E400" t="s">
        <v>369</v>
      </c>
      <c r="F400">
        <v>5.9</v>
      </c>
      <c r="G400" t="s">
        <v>1307</v>
      </c>
      <c r="H400" s="11">
        <v>32857</v>
      </c>
      <c r="I400" s="6">
        <v>110000</v>
      </c>
      <c r="J400" s="9">
        <f t="shared" si="19"/>
        <v>1157.8947368421052</v>
      </c>
      <c r="K400" s="9">
        <f t="shared" si="20"/>
        <v>19.298245614035089</v>
      </c>
    </row>
    <row r="401" spans="1:11" x14ac:dyDescent="0.25">
      <c r="A401" t="s">
        <v>1309</v>
      </c>
      <c r="B401">
        <v>2019</v>
      </c>
      <c r="C401" s="8">
        <v>92</v>
      </c>
      <c r="D401" s="8">
        <f t="shared" si="18"/>
        <v>5520</v>
      </c>
      <c r="E401" t="s">
        <v>284</v>
      </c>
      <c r="F401">
        <v>5.9</v>
      </c>
      <c r="G401" t="s">
        <v>1310</v>
      </c>
      <c r="H401" s="11">
        <v>27470</v>
      </c>
      <c r="I401" s="6">
        <v>14860000</v>
      </c>
      <c r="J401" s="9">
        <f t="shared" si="19"/>
        <v>161521.73913043478</v>
      </c>
      <c r="K401" s="9">
        <f t="shared" si="20"/>
        <v>2692.0289855072465</v>
      </c>
    </row>
    <row r="402" spans="1:11" x14ac:dyDescent="0.25">
      <c r="A402" t="s">
        <v>1312</v>
      </c>
      <c r="B402">
        <v>2021</v>
      </c>
      <c r="C402" s="8">
        <v>108</v>
      </c>
      <c r="D402" s="8">
        <f t="shared" si="18"/>
        <v>6480</v>
      </c>
      <c r="E402" t="s">
        <v>42</v>
      </c>
      <c r="F402">
        <v>5.8</v>
      </c>
      <c r="G402" t="s">
        <v>254</v>
      </c>
      <c r="H402" s="11" t="s">
        <v>1313</v>
      </c>
      <c r="I402" s="6">
        <v>48280000</v>
      </c>
      <c r="J402" s="9">
        <f t="shared" si="19"/>
        <v>447037.03703703702</v>
      </c>
      <c r="K402" s="9">
        <f t="shared" si="20"/>
        <v>7450.6172839506171</v>
      </c>
    </row>
    <row r="403" spans="1:11" x14ac:dyDescent="0.25">
      <c r="A403" t="s">
        <v>1315</v>
      </c>
      <c r="B403">
        <v>1999</v>
      </c>
      <c r="C403" s="8">
        <v>122</v>
      </c>
      <c r="D403" s="8">
        <f t="shared" si="18"/>
        <v>7320</v>
      </c>
      <c r="E403" t="s">
        <v>438</v>
      </c>
      <c r="F403">
        <v>5.8</v>
      </c>
      <c r="G403" t="s">
        <v>1316</v>
      </c>
      <c r="H403" s="11" t="s">
        <v>1317</v>
      </c>
      <c r="I403" s="6">
        <v>66890000</v>
      </c>
      <c r="J403" s="9">
        <f t="shared" si="19"/>
        <v>548278.68852459011</v>
      </c>
      <c r="K403" s="9">
        <f t="shared" si="20"/>
        <v>9137.978142076503</v>
      </c>
    </row>
    <row r="404" spans="1:11" x14ac:dyDescent="0.25">
      <c r="A404" t="s">
        <v>1319</v>
      </c>
      <c r="B404">
        <v>2021</v>
      </c>
      <c r="C404" s="8">
        <v>148</v>
      </c>
      <c r="D404" s="8">
        <f t="shared" si="18"/>
        <v>8880</v>
      </c>
      <c r="E404" t="s">
        <v>162</v>
      </c>
      <c r="F404">
        <v>5.8</v>
      </c>
      <c r="G404" t="s">
        <v>262</v>
      </c>
      <c r="H404" s="11" t="s">
        <v>1320</v>
      </c>
      <c r="I404" s="6">
        <v>1000000</v>
      </c>
      <c r="J404" s="9">
        <f t="shared" si="19"/>
        <v>6756.7567567567567</v>
      </c>
      <c r="K404" s="9">
        <f t="shared" si="20"/>
        <v>112.61261261261261</v>
      </c>
    </row>
    <row r="405" spans="1:11" x14ac:dyDescent="0.25">
      <c r="A405" t="s">
        <v>1322</v>
      </c>
      <c r="B405">
        <v>1997</v>
      </c>
      <c r="C405" s="8">
        <v>101</v>
      </c>
      <c r="D405" s="8">
        <f t="shared" si="18"/>
        <v>6060</v>
      </c>
      <c r="E405" t="s">
        <v>178</v>
      </c>
      <c r="F405">
        <v>5.8</v>
      </c>
      <c r="G405" t="s">
        <v>1323</v>
      </c>
      <c r="H405" s="11" t="s">
        <v>1324</v>
      </c>
      <c r="I405" s="6">
        <v>72590000</v>
      </c>
      <c r="J405" s="9">
        <f t="shared" si="19"/>
        <v>718712.87128712866</v>
      </c>
      <c r="K405" s="9">
        <f t="shared" si="20"/>
        <v>11978.547854785478</v>
      </c>
    </row>
    <row r="406" spans="1:11" x14ac:dyDescent="0.25">
      <c r="A406" t="s">
        <v>1326</v>
      </c>
      <c r="B406">
        <v>1995</v>
      </c>
      <c r="C406" s="8">
        <v>108</v>
      </c>
      <c r="D406" s="8">
        <f t="shared" si="18"/>
        <v>6480</v>
      </c>
      <c r="E406" t="s">
        <v>325</v>
      </c>
      <c r="F406">
        <v>5.8</v>
      </c>
      <c r="G406" t="s">
        <v>1327</v>
      </c>
      <c r="H406" s="11">
        <v>82499</v>
      </c>
      <c r="I406" s="6">
        <v>60070000</v>
      </c>
      <c r="J406" s="9">
        <f t="shared" si="19"/>
        <v>556203.70370370371</v>
      </c>
      <c r="K406" s="9">
        <f t="shared" si="20"/>
        <v>9270.0617283950614</v>
      </c>
    </row>
    <row r="407" spans="1:11" x14ac:dyDescent="0.25">
      <c r="A407" t="s">
        <v>220</v>
      </c>
      <c r="B407">
        <v>2013</v>
      </c>
      <c r="C407" s="8">
        <v>100</v>
      </c>
      <c r="D407" s="8">
        <f t="shared" si="18"/>
        <v>6000</v>
      </c>
      <c r="E407" t="s">
        <v>39</v>
      </c>
      <c r="F407">
        <v>5.8</v>
      </c>
      <c r="G407" t="s">
        <v>1329</v>
      </c>
      <c r="H407" s="11" t="s">
        <v>1330</v>
      </c>
      <c r="I407" s="6">
        <v>35270000</v>
      </c>
      <c r="J407" s="9">
        <f t="shared" si="19"/>
        <v>352700</v>
      </c>
      <c r="K407" s="9">
        <f t="shared" si="20"/>
        <v>5878.333333333333</v>
      </c>
    </row>
    <row r="408" spans="1:11" x14ac:dyDescent="0.25">
      <c r="A408" t="s">
        <v>1332</v>
      </c>
      <c r="B408">
        <v>2009</v>
      </c>
      <c r="C408" s="8">
        <v>104</v>
      </c>
      <c r="D408" s="8">
        <f t="shared" si="18"/>
        <v>6240</v>
      </c>
      <c r="E408" t="s">
        <v>9</v>
      </c>
      <c r="F408">
        <v>5.8</v>
      </c>
      <c r="G408" t="s">
        <v>396</v>
      </c>
      <c r="H408" s="11">
        <v>99872</v>
      </c>
      <c r="I408" s="6">
        <v>17000000</v>
      </c>
      <c r="J408" s="9">
        <f t="shared" si="19"/>
        <v>163461.53846153847</v>
      </c>
      <c r="K408" s="9">
        <f t="shared" si="20"/>
        <v>2724.3589743589741</v>
      </c>
    </row>
    <row r="409" spans="1:11" x14ac:dyDescent="0.25">
      <c r="A409" t="s">
        <v>1334</v>
      </c>
      <c r="B409">
        <v>2006</v>
      </c>
      <c r="C409" s="8">
        <v>93</v>
      </c>
      <c r="D409" s="8">
        <f t="shared" si="18"/>
        <v>5580</v>
      </c>
      <c r="E409" t="s">
        <v>72</v>
      </c>
      <c r="F409">
        <v>5.8</v>
      </c>
      <c r="G409" t="s">
        <v>613</v>
      </c>
      <c r="H409" s="11" t="s">
        <v>1335</v>
      </c>
      <c r="I409" s="6">
        <v>54100000</v>
      </c>
      <c r="J409" s="9">
        <f t="shared" si="19"/>
        <v>581720.43010752683</v>
      </c>
      <c r="K409" s="9">
        <f t="shared" si="20"/>
        <v>9695.3405017921141</v>
      </c>
    </row>
    <row r="410" spans="1:11" x14ac:dyDescent="0.25">
      <c r="A410" t="s">
        <v>1337</v>
      </c>
      <c r="B410">
        <v>2018</v>
      </c>
      <c r="C410" s="8">
        <v>113</v>
      </c>
      <c r="D410" s="8">
        <f t="shared" si="18"/>
        <v>6780</v>
      </c>
      <c r="E410" t="s">
        <v>504</v>
      </c>
      <c r="F410">
        <v>5.8</v>
      </c>
      <c r="G410" t="s">
        <v>1338</v>
      </c>
      <c r="H410" s="11">
        <v>38180</v>
      </c>
      <c r="I410" s="6">
        <v>1230000</v>
      </c>
      <c r="J410" s="9">
        <f t="shared" si="19"/>
        <v>10884.955752212389</v>
      </c>
      <c r="K410" s="9">
        <f t="shared" si="20"/>
        <v>181.41592920353983</v>
      </c>
    </row>
    <row r="411" spans="1:11" x14ac:dyDescent="0.25">
      <c r="A411" t="s">
        <v>1340</v>
      </c>
      <c r="B411">
        <v>2000</v>
      </c>
      <c r="C411" s="8">
        <v>112</v>
      </c>
      <c r="D411" s="8">
        <f t="shared" si="18"/>
        <v>6720</v>
      </c>
      <c r="E411" t="s">
        <v>325</v>
      </c>
      <c r="F411">
        <v>5.8</v>
      </c>
      <c r="G411" t="s">
        <v>1341</v>
      </c>
      <c r="H411" s="11" t="s">
        <v>1342</v>
      </c>
      <c r="I411" s="6">
        <v>73210000</v>
      </c>
      <c r="J411" s="9">
        <f t="shared" si="19"/>
        <v>653660.71428571432</v>
      </c>
      <c r="K411" s="9">
        <f t="shared" si="20"/>
        <v>10894.345238095239</v>
      </c>
    </row>
    <row r="412" spans="1:11" x14ac:dyDescent="0.25">
      <c r="A412" t="s">
        <v>1344</v>
      </c>
      <c r="B412">
        <v>1978</v>
      </c>
      <c r="C412" s="8">
        <v>116</v>
      </c>
      <c r="D412" s="8">
        <f t="shared" si="18"/>
        <v>6960</v>
      </c>
      <c r="E412" t="s">
        <v>320</v>
      </c>
      <c r="F412">
        <v>5.8</v>
      </c>
      <c r="G412" t="s">
        <v>1345</v>
      </c>
      <c r="H412" s="11">
        <v>80981</v>
      </c>
      <c r="I412" s="6">
        <v>102920000</v>
      </c>
      <c r="J412" s="9">
        <f t="shared" si="19"/>
        <v>887241.37931034481</v>
      </c>
      <c r="K412" s="9">
        <f t="shared" si="20"/>
        <v>14787.356321839081</v>
      </c>
    </row>
    <row r="413" spans="1:11" x14ac:dyDescent="0.25">
      <c r="A413" t="s">
        <v>1347</v>
      </c>
      <c r="B413">
        <v>2004</v>
      </c>
      <c r="C413" s="8">
        <v>113</v>
      </c>
      <c r="D413" s="8">
        <f t="shared" si="18"/>
        <v>6780</v>
      </c>
      <c r="E413" t="s">
        <v>325</v>
      </c>
      <c r="F413">
        <v>5.8</v>
      </c>
      <c r="G413" t="s">
        <v>1348</v>
      </c>
      <c r="H413" s="11" t="s">
        <v>1349</v>
      </c>
      <c r="I413" s="6">
        <v>52410000</v>
      </c>
      <c r="J413" s="9">
        <f t="shared" si="19"/>
        <v>463805.30973451328</v>
      </c>
      <c r="K413" s="9">
        <f t="shared" si="20"/>
        <v>7730.0884955752208</v>
      </c>
    </row>
    <row r="414" spans="1:11" x14ac:dyDescent="0.25">
      <c r="A414" t="s">
        <v>1351</v>
      </c>
      <c r="B414">
        <v>2013</v>
      </c>
      <c r="C414" s="8">
        <v>130</v>
      </c>
      <c r="D414" s="8">
        <f t="shared" si="18"/>
        <v>7800</v>
      </c>
      <c r="E414" t="s">
        <v>451</v>
      </c>
      <c r="F414">
        <v>5.8</v>
      </c>
      <c r="G414" t="s">
        <v>1352</v>
      </c>
      <c r="H414" s="11" t="s">
        <v>1353</v>
      </c>
      <c r="I414" s="6">
        <v>31170000</v>
      </c>
      <c r="J414" s="9">
        <f t="shared" si="19"/>
        <v>239769.23076923078</v>
      </c>
      <c r="K414" s="9">
        <f t="shared" si="20"/>
        <v>3996.1538461538462</v>
      </c>
    </row>
    <row r="415" spans="1:11" x14ac:dyDescent="0.25">
      <c r="A415" t="s">
        <v>1355</v>
      </c>
      <c r="B415">
        <v>2016</v>
      </c>
      <c r="C415" s="8">
        <v>108</v>
      </c>
      <c r="D415" s="8">
        <f t="shared" si="18"/>
        <v>6480</v>
      </c>
      <c r="E415" t="s">
        <v>519</v>
      </c>
      <c r="F415">
        <v>5.8</v>
      </c>
      <c r="G415" t="s">
        <v>1356</v>
      </c>
      <c r="H415" s="11">
        <v>58473</v>
      </c>
      <c r="I415" s="6">
        <v>10910000</v>
      </c>
      <c r="J415" s="9">
        <f t="shared" si="19"/>
        <v>101018.51851851853</v>
      </c>
      <c r="K415" s="9">
        <f t="shared" si="20"/>
        <v>1683.641975308642</v>
      </c>
    </row>
    <row r="416" spans="1:11" x14ac:dyDescent="0.25">
      <c r="A416" t="s">
        <v>1358</v>
      </c>
      <c r="B416">
        <v>1999</v>
      </c>
      <c r="C416" s="8">
        <v>82</v>
      </c>
      <c r="D416" s="8">
        <f t="shared" si="18"/>
        <v>4920</v>
      </c>
      <c r="E416" t="s">
        <v>116</v>
      </c>
      <c r="F416">
        <v>5.8</v>
      </c>
      <c r="G416" t="s">
        <v>1158</v>
      </c>
      <c r="H416" s="11">
        <v>63404</v>
      </c>
      <c r="I416" s="6">
        <v>31770000</v>
      </c>
      <c r="J416" s="9">
        <f t="shared" si="19"/>
        <v>387439.02439024393</v>
      </c>
      <c r="K416" s="9">
        <f t="shared" si="20"/>
        <v>6457.3170731707314</v>
      </c>
    </row>
    <row r="417" spans="1:11" x14ac:dyDescent="0.25">
      <c r="A417" t="s">
        <v>1360</v>
      </c>
      <c r="B417">
        <v>2010</v>
      </c>
      <c r="C417" s="8">
        <v>103</v>
      </c>
      <c r="D417" s="8">
        <f t="shared" si="18"/>
        <v>6180</v>
      </c>
      <c r="E417" t="s">
        <v>28</v>
      </c>
      <c r="F417">
        <v>5.8</v>
      </c>
      <c r="G417" t="s">
        <v>1361</v>
      </c>
      <c r="H417" s="11" t="s">
        <v>1362</v>
      </c>
      <c r="I417" s="6">
        <v>61980000</v>
      </c>
      <c r="J417" s="9">
        <f t="shared" si="19"/>
        <v>601747.57281553396</v>
      </c>
      <c r="K417" s="9">
        <f t="shared" si="20"/>
        <v>10029.126213592233</v>
      </c>
    </row>
    <row r="418" spans="1:11" x14ac:dyDescent="0.25">
      <c r="A418" t="s">
        <v>1364</v>
      </c>
      <c r="B418">
        <v>2006</v>
      </c>
      <c r="C418" s="8">
        <v>91</v>
      </c>
      <c r="D418" s="8">
        <f t="shared" si="18"/>
        <v>5460</v>
      </c>
      <c r="E418" t="s">
        <v>72</v>
      </c>
      <c r="F418">
        <v>5.8</v>
      </c>
      <c r="G418" t="s">
        <v>1365</v>
      </c>
      <c r="H418" s="11">
        <v>75052</v>
      </c>
      <c r="I418" s="6">
        <v>39520000</v>
      </c>
      <c r="J418" s="9">
        <f t="shared" si="19"/>
        <v>434285.71428571426</v>
      </c>
      <c r="K418" s="9">
        <f t="shared" si="20"/>
        <v>7238.0952380952385</v>
      </c>
    </row>
    <row r="419" spans="1:11" x14ac:dyDescent="0.25">
      <c r="A419" t="s">
        <v>1367</v>
      </c>
      <c r="B419">
        <v>2019</v>
      </c>
      <c r="C419" s="8">
        <v>86</v>
      </c>
      <c r="D419" s="8">
        <f t="shared" si="18"/>
        <v>5160</v>
      </c>
      <c r="E419" t="s">
        <v>1368</v>
      </c>
      <c r="F419">
        <v>5.8</v>
      </c>
      <c r="G419" t="s">
        <v>1369</v>
      </c>
      <c r="H419" s="11">
        <v>42739</v>
      </c>
      <c r="I419" s="6">
        <v>100040000</v>
      </c>
      <c r="J419" s="9">
        <f t="shared" si="19"/>
        <v>1163255.8139534884</v>
      </c>
      <c r="K419" s="9">
        <f t="shared" si="20"/>
        <v>19387.596899224805</v>
      </c>
    </row>
    <row r="420" spans="1:11" x14ac:dyDescent="0.25">
      <c r="A420" t="s">
        <v>1371</v>
      </c>
      <c r="B420">
        <v>2011</v>
      </c>
      <c r="C420" s="8">
        <v>112</v>
      </c>
      <c r="D420" s="8">
        <f t="shared" si="18"/>
        <v>6720</v>
      </c>
      <c r="E420" t="s">
        <v>83</v>
      </c>
      <c r="F420">
        <v>5.8</v>
      </c>
      <c r="G420" t="s">
        <v>1118</v>
      </c>
      <c r="H420" s="11">
        <v>37690</v>
      </c>
      <c r="I420" s="6">
        <v>20000</v>
      </c>
      <c r="J420" s="9">
        <f t="shared" si="19"/>
        <v>178.57142857142858</v>
      </c>
      <c r="K420" s="9">
        <f t="shared" si="20"/>
        <v>2.9761904761904763</v>
      </c>
    </row>
    <row r="421" spans="1:11" x14ac:dyDescent="0.25">
      <c r="A421" t="s">
        <v>1373</v>
      </c>
      <c r="B421">
        <v>2012</v>
      </c>
      <c r="C421" s="8">
        <v>116</v>
      </c>
      <c r="D421" s="8">
        <f t="shared" si="18"/>
        <v>6960</v>
      </c>
      <c r="E421" t="s">
        <v>30</v>
      </c>
      <c r="F421">
        <v>5.8</v>
      </c>
      <c r="G421" t="s">
        <v>540</v>
      </c>
      <c r="H421" s="11">
        <v>65385</v>
      </c>
      <c r="I421" s="6">
        <v>100000</v>
      </c>
      <c r="J421" s="9">
        <f t="shared" si="19"/>
        <v>862.06896551724139</v>
      </c>
      <c r="K421" s="9">
        <f t="shared" si="20"/>
        <v>14.367816091954023</v>
      </c>
    </row>
    <row r="422" spans="1:11" x14ac:dyDescent="0.25">
      <c r="A422" t="s">
        <v>1374</v>
      </c>
      <c r="B422">
        <v>2016</v>
      </c>
      <c r="C422" s="8">
        <v>92</v>
      </c>
      <c r="D422" s="8">
        <f t="shared" si="18"/>
        <v>5520</v>
      </c>
      <c r="E422" t="s">
        <v>325</v>
      </c>
      <c r="F422">
        <v>5.8</v>
      </c>
      <c r="G422" t="s">
        <v>1375</v>
      </c>
      <c r="H422" s="11">
        <v>44898</v>
      </c>
      <c r="I422" s="6">
        <v>3910000</v>
      </c>
      <c r="J422" s="9">
        <f t="shared" si="19"/>
        <v>42500</v>
      </c>
      <c r="K422" s="9">
        <f t="shared" si="20"/>
        <v>708.33333333333337</v>
      </c>
    </row>
    <row r="423" spans="1:11" x14ac:dyDescent="0.25">
      <c r="A423" t="s">
        <v>1377</v>
      </c>
      <c r="B423">
        <v>1996</v>
      </c>
      <c r="C423" s="8">
        <v>93</v>
      </c>
      <c r="D423" s="8">
        <f t="shared" si="18"/>
        <v>5580</v>
      </c>
      <c r="E423" t="s">
        <v>48</v>
      </c>
      <c r="F423">
        <v>5.8</v>
      </c>
      <c r="G423" t="s">
        <v>458</v>
      </c>
      <c r="H423" s="11">
        <v>32352</v>
      </c>
      <c r="I423" s="6">
        <v>15170000</v>
      </c>
      <c r="J423" s="9">
        <f t="shared" si="19"/>
        <v>163118.27956989247</v>
      </c>
      <c r="K423" s="9">
        <f t="shared" si="20"/>
        <v>2718.6379928315414</v>
      </c>
    </row>
    <row r="424" spans="1:11" x14ac:dyDescent="0.25">
      <c r="A424" t="s">
        <v>1379</v>
      </c>
      <c r="B424">
        <v>2009</v>
      </c>
      <c r="C424" s="8">
        <v>92</v>
      </c>
      <c r="D424" s="8">
        <f t="shared" si="18"/>
        <v>5520</v>
      </c>
      <c r="E424" t="s">
        <v>42</v>
      </c>
      <c r="F424">
        <v>5.8</v>
      </c>
      <c r="G424" t="s">
        <v>1380</v>
      </c>
      <c r="H424" s="11">
        <v>63528</v>
      </c>
      <c r="I424" s="6">
        <v>55390000</v>
      </c>
      <c r="J424" s="9">
        <f t="shared" si="19"/>
        <v>602065.21739130432</v>
      </c>
      <c r="K424" s="9">
        <f t="shared" si="20"/>
        <v>10034.420289855072</v>
      </c>
    </row>
    <row r="425" spans="1:11" x14ac:dyDescent="0.25">
      <c r="A425" t="s">
        <v>1382</v>
      </c>
      <c r="B425">
        <v>2010</v>
      </c>
      <c r="C425" s="8">
        <v>96</v>
      </c>
      <c r="D425" s="8">
        <f t="shared" si="18"/>
        <v>5760</v>
      </c>
      <c r="E425" t="s">
        <v>325</v>
      </c>
      <c r="F425">
        <v>5.8</v>
      </c>
      <c r="G425" t="s">
        <v>686</v>
      </c>
      <c r="H425" s="11" t="s">
        <v>1383</v>
      </c>
      <c r="I425" s="6">
        <v>60130000</v>
      </c>
      <c r="J425" s="9">
        <f t="shared" si="19"/>
        <v>626354.16666666663</v>
      </c>
      <c r="K425" s="9">
        <f t="shared" si="20"/>
        <v>10439.236111111111</v>
      </c>
    </row>
    <row r="426" spans="1:11" x14ac:dyDescent="0.25">
      <c r="A426" t="s">
        <v>1385</v>
      </c>
      <c r="B426">
        <v>2003</v>
      </c>
      <c r="C426" s="8">
        <v>98</v>
      </c>
      <c r="D426" s="8">
        <f t="shared" si="18"/>
        <v>5880</v>
      </c>
      <c r="E426" t="s">
        <v>14</v>
      </c>
      <c r="F426">
        <v>5.8</v>
      </c>
      <c r="G426" t="s">
        <v>1386</v>
      </c>
      <c r="H426" s="11" t="s">
        <v>1387</v>
      </c>
      <c r="I426" s="6">
        <v>59690000</v>
      </c>
      <c r="J426" s="9">
        <f t="shared" si="19"/>
        <v>609081.63265306118</v>
      </c>
      <c r="K426" s="9">
        <f t="shared" si="20"/>
        <v>10151.360544217687</v>
      </c>
    </row>
    <row r="427" spans="1:11" x14ac:dyDescent="0.25">
      <c r="A427" t="s">
        <v>1389</v>
      </c>
      <c r="B427">
        <v>1997</v>
      </c>
      <c r="C427" s="8">
        <v>110</v>
      </c>
      <c r="D427" s="8">
        <f t="shared" si="18"/>
        <v>6600</v>
      </c>
      <c r="E427" t="s">
        <v>24</v>
      </c>
      <c r="F427">
        <v>5.8</v>
      </c>
      <c r="G427" t="s">
        <v>1316</v>
      </c>
      <c r="H427" s="11">
        <v>29056</v>
      </c>
      <c r="I427" s="6">
        <v>33960000</v>
      </c>
      <c r="J427" s="9">
        <f t="shared" si="19"/>
        <v>308727.27272727271</v>
      </c>
      <c r="K427" s="9">
        <f t="shared" si="20"/>
        <v>5145.454545454545</v>
      </c>
    </row>
    <row r="428" spans="1:11" x14ac:dyDescent="0.25">
      <c r="A428" t="s">
        <v>1391</v>
      </c>
      <c r="B428">
        <v>1995</v>
      </c>
      <c r="C428" s="8">
        <v>88</v>
      </c>
      <c r="D428" s="8">
        <f t="shared" si="18"/>
        <v>5280</v>
      </c>
      <c r="E428" t="s">
        <v>187</v>
      </c>
      <c r="F428">
        <v>5.8</v>
      </c>
      <c r="G428" t="s">
        <v>1392</v>
      </c>
      <c r="H428" s="11">
        <v>43600</v>
      </c>
      <c r="I428" s="6">
        <v>10770000</v>
      </c>
      <c r="J428" s="9">
        <f t="shared" si="19"/>
        <v>122386.36363636363</v>
      </c>
      <c r="K428" s="9">
        <f t="shared" si="20"/>
        <v>2039.7727272727273</v>
      </c>
    </row>
    <row r="429" spans="1:11" x14ac:dyDescent="0.25">
      <c r="A429" t="s">
        <v>1394</v>
      </c>
      <c r="B429">
        <v>2003</v>
      </c>
      <c r="C429" s="8">
        <v>79</v>
      </c>
      <c r="D429" s="8">
        <f t="shared" si="18"/>
        <v>4740</v>
      </c>
      <c r="E429" t="s">
        <v>504</v>
      </c>
      <c r="F429">
        <v>5.8</v>
      </c>
      <c r="G429" t="s">
        <v>1395</v>
      </c>
      <c r="H429" s="11">
        <v>55121</v>
      </c>
      <c r="I429" s="6">
        <v>30610000</v>
      </c>
      <c r="J429" s="9">
        <f t="shared" si="19"/>
        <v>387468.35443037975</v>
      </c>
      <c r="K429" s="9">
        <f t="shared" si="20"/>
        <v>6457.8059071729958</v>
      </c>
    </row>
    <row r="430" spans="1:11" x14ac:dyDescent="0.25">
      <c r="A430" t="s">
        <v>1397</v>
      </c>
      <c r="B430">
        <v>1998</v>
      </c>
      <c r="C430" s="8">
        <v>86</v>
      </c>
      <c r="D430" s="8">
        <f t="shared" si="18"/>
        <v>5160</v>
      </c>
      <c r="E430" t="s">
        <v>72</v>
      </c>
      <c r="F430">
        <v>5.8</v>
      </c>
      <c r="G430" t="s">
        <v>1158</v>
      </c>
      <c r="H430" s="11">
        <v>78797</v>
      </c>
      <c r="I430" s="6">
        <v>55040000</v>
      </c>
      <c r="J430" s="9">
        <f t="shared" si="19"/>
        <v>640000</v>
      </c>
      <c r="K430" s="9">
        <f t="shared" si="20"/>
        <v>10666.666666666666</v>
      </c>
    </row>
    <row r="431" spans="1:11" x14ac:dyDescent="0.25">
      <c r="A431" t="s">
        <v>1399</v>
      </c>
      <c r="B431">
        <v>1988</v>
      </c>
      <c r="C431" s="8">
        <v>88</v>
      </c>
      <c r="D431" s="8">
        <f t="shared" si="18"/>
        <v>5280</v>
      </c>
      <c r="E431" t="s">
        <v>72</v>
      </c>
      <c r="F431">
        <v>5.8</v>
      </c>
      <c r="G431" t="s">
        <v>1400</v>
      </c>
      <c r="H431" s="11">
        <v>55673</v>
      </c>
      <c r="I431" s="6">
        <v>17770000</v>
      </c>
      <c r="J431" s="9">
        <f t="shared" si="19"/>
        <v>201931.81818181818</v>
      </c>
      <c r="K431" s="9">
        <f t="shared" si="20"/>
        <v>3365.530303030303</v>
      </c>
    </row>
    <row r="432" spans="1:11" x14ac:dyDescent="0.25">
      <c r="A432" t="s">
        <v>1402</v>
      </c>
      <c r="B432">
        <v>2008</v>
      </c>
      <c r="C432" s="8">
        <v>92</v>
      </c>
      <c r="D432" s="8">
        <f t="shared" si="18"/>
        <v>5520</v>
      </c>
      <c r="E432" t="s">
        <v>72</v>
      </c>
      <c r="F432">
        <v>5.8</v>
      </c>
      <c r="G432" t="s">
        <v>1403</v>
      </c>
      <c r="H432" s="11" t="s">
        <v>1404</v>
      </c>
      <c r="I432" s="6">
        <v>56750000</v>
      </c>
      <c r="J432" s="9">
        <f t="shared" si="19"/>
        <v>616847.82608695654</v>
      </c>
      <c r="K432" s="9">
        <f t="shared" si="20"/>
        <v>10280.797101449276</v>
      </c>
    </row>
    <row r="433" spans="1:11" x14ac:dyDescent="0.25">
      <c r="A433" t="s">
        <v>1406</v>
      </c>
      <c r="B433">
        <v>2006</v>
      </c>
      <c r="C433" s="8">
        <v>87</v>
      </c>
      <c r="D433" s="8">
        <f t="shared" si="18"/>
        <v>5220</v>
      </c>
      <c r="E433" t="s">
        <v>296</v>
      </c>
      <c r="F433">
        <v>5.8</v>
      </c>
      <c r="G433" t="s">
        <v>1407</v>
      </c>
      <c r="H433" s="11">
        <v>41390</v>
      </c>
      <c r="I433" s="6">
        <v>80000</v>
      </c>
      <c r="J433" s="9">
        <f t="shared" si="19"/>
        <v>919.54022988505744</v>
      </c>
      <c r="K433" s="9">
        <f t="shared" si="20"/>
        <v>15.325670498084291</v>
      </c>
    </row>
    <row r="434" spans="1:11" x14ac:dyDescent="0.25">
      <c r="A434" t="s">
        <v>1408</v>
      </c>
      <c r="B434">
        <v>2011</v>
      </c>
      <c r="C434" s="8">
        <v>83</v>
      </c>
      <c r="D434" s="8">
        <f t="shared" si="18"/>
        <v>4980</v>
      </c>
      <c r="E434" t="s">
        <v>178</v>
      </c>
      <c r="F434">
        <v>5.8</v>
      </c>
      <c r="G434" t="s">
        <v>1409</v>
      </c>
      <c r="H434" s="11">
        <v>97454</v>
      </c>
      <c r="I434" s="6">
        <v>104010000</v>
      </c>
      <c r="J434" s="9">
        <f t="shared" si="19"/>
        <v>1253132.530120482</v>
      </c>
      <c r="K434" s="9">
        <f t="shared" si="20"/>
        <v>20885.542168674699</v>
      </c>
    </row>
    <row r="435" spans="1:11" x14ac:dyDescent="0.25">
      <c r="A435" t="s">
        <v>1411</v>
      </c>
      <c r="B435">
        <v>2005</v>
      </c>
      <c r="C435" s="8">
        <v>90</v>
      </c>
      <c r="D435" s="8">
        <f t="shared" si="18"/>
        <v>5400</v>
      </c>
      <c r="E435" t="s">
        <v>42</v>
      </c>
      <c r="F435">
        <v>5.8</v>
      </c>
      <c r="G435" t="s">
        <v>1412</v>
      </c>
      <c r="H435" s="11">
        <v>27993</v>
      </c>
      <c r="I435" s="6">
        <v>10050000</v>
      </c>
      <c r="J435" s="9">
        <f t="shared" si="19"/>
        <v>111666.66666666667</v>
      </c>
      <c r="K435" s="9">
        <f t="shared" si="20"/>
        <v>1861.1111111111111</v>
      </c>
    </row>
    <row r="436" spans="1:11" x14ac:dyDescent="0.25">
      <c r="A436" t="s">
        <v>1415</v>
      </c>
      <c r="B436">
        <v>2013</v>
      </c>
      <c r="C436" s="8">
        <v>85</v>
      </c>
      <c r="D436" s="8">
        <f t="shared" si="18"/>
        <v>5100</v>
      </c>
      <c r="E436" t="s">
        <v>344</v>
      </c>
      <c r="F436">
        <v>5.7</v>
      </c>
      <c r="G436" t="s">
        <v>895</v>
      </c>
      <c r="H436" s="11" t="s">
        <v>1416</v>
      </c>
      <c r="I436" s="6">
        <v>64470000</v>
      </c>
      <c r="J436" s="9">
        <f t="shared" si="19"/>
        <v>758470.5882352941</v>
      </c>
      <c r="K436" s="9">
        <f t="shared" si="20"/>
        <v>12641.176470588236</v>
      </c>
    </row>
    <row r="437" spans="1:11" x14ac:dyDescent="0.25">
      <c r="A437" t="s">
        <v>1418</v>
      </c>
      <c r="B437">
        <v>2021</v>
      </c>
      <c r="C437" s="8">
        <v>88</v>
      </c>
      <c r="D437" s="8">
        <f t="shared" si="18"/>
        <v>5280</v>
      </c>
      <c r="E437" t="s">
        <v>62</v>
      </c>
      <c r="F437">
        <v>5.7</v>
      </c>
      <c r="G437" t="s">
        <v>861</v>
      </c>
      <c r="H437" s="11">
        <v>52337</v>
      </c>
      <c r="I437" s="6">
        <v>25190000</v>
      </c>
      <c r="J437" s="9">
        <f t="shared" si="19"/>
        <v>286250</v>
      </c>
      <c r="K437" s="9">
        <f t="shared" si="20"/>
        <v>4770.833333333333</v>
      </c>
    </row>
    <row r="438" spans="1:11" x14ac:dyDescent="0.25">
      <c r="A438" t="s">
        <v>1420</v>
      </c>
      <c r="B438">
        <v>2018</v>
      </c>
      <c r="C438" s="8">
        <v>103</v>
      </c>
      <c r="D438" s="8">
        <f t="shared" si="18"/>
        <v>6180</v>
      </c>
      <c r="E438" t="s">
        <v>14</v>
      </c>
      <c r="F438">
        <v>5.7</v>
      </c>
      <c r="G438" t="s">
        <v>861</v>
      </c>
      <c r="H438" s="11">
        <v>64055</v>
      </c>
      <c r="I438" s="6">
        <v>67750000</v>
      </c>
      <c r="J438" s="9">
        <f t="shared" si="19"/>
        <v>657766.99029126216</v>
      </c>
      <c r="K438" s="9">
        <f t="shared" si="20"/>
        <v>10962.783171521036</v>
      </c>
    </row>
    <row r="439" spans="1:11" x14ac:dyDescent="0.25">
      <c r="A439" t="s">
        <v>1422</v>
      </c>
      <c r="B439">
        <v>1992</v>
      </c>
      <c r="C439" s="8">
        <v>86</v>
      </c>
      <c r="D439" s="8">
        <f t="shared" si="18"/>
        <v>5160</v>
      </c>
      <c r="E439" t="s">
        <v>519</v>
      </c>
      <c r="F439">
        <v>5.7</v>
      </c>
      <c r="G439" t="s">
        <v>1423</v>
      </c>
      <c r="H439" s="11">
        <v>47048</v>
      </c>
      <c r="I439" s="6">
        <v>16620000</v>
      </c>
      <c r="J439" s="9">
        <f t="shared" si="19"/>
        <v>193255.81395348837</v>
      </c>
      <c r="K439" s="9">
        <f t="shared" si="20"/>
        <v>3220.9302325581393</v>
      </c>
    </row>
    <row r="440" spans="1:11" x14ac:dyDescent="0.25">
      <c r="A440" t="s">
        <v>1425</v>
      </c>
      <c r="B440">
        <v>2016</v>
      </c>
      <c r="C440" s="8">
        <v>91</v>
      </c>
      <c r="D440" s="8">
        <f t="shared" si="18"/>
        <v>5460</v>
      </c>
      <c r="E440" t="s">
        <v>451</v>
      </c>
      <c r="F440">
        <v>5.7</v>
      </c>
      <c r="G440" t="s">
        <v>1426</v>
      </c>
      <c r="H440" s="11">
        <v>78499</v>
      </c>
      <c r="I440" s="6">
        <v>30350000</v>
      </c>
      <c r="J440" s="9">
        <f t="shared" si="19"/>
        <v>333516.48351648351</v>
      </c>
      <c r="K440" s="9">
        <f t="shared" si="20"/>
        <v>5558.6080586080589</v>
      </c>
    </row>
    <row r="441" spans="1:11" x14ac:dyDescent="0.25">
      <c r="A441" t="s">
        <v>1428</v>
      </c>
      <c r="B441">
        <v>2017</v>
      </c>
      <c r="C441" s="8">
        <v>92</v>
      </c>
      <c r="D441" s="8">
        <f t="shared" si="18"/>
        <v>5520</v>
      </c>
      <c r="E441" t="s">
        <v>14</v>
      </c>
      <c r="F441">
        <v>5.7</v>
      </c>
      <c r="G441" t="s">
        <v>914</v>
      </c>
      <c r="H441" s="11">
        <v>83738</v>
      </c>
      <c r="I441" s="6">
        <v>38050000</v>
      </c>
      <c r="J441" s="9">
        <f t="shared" si="19"/>
        <v>413586.95652173914</v>
      </c>
      <c r="K441" s="9">
        <f t="shared" si="20"/>
        <v>6893.115942028986</v>
      </c>
    </row>
    <row r="442" spans="1:11" x14ac:dyDescent="0.25">
      <c r="A442" t="s">
        <v>1430</v>
      </c>
      <c r="B442">
        <v>2003</v>
      </c>
      <c r="C442" s="8">
        <v>97</v>
      </c>
      <c r="D442" s="8">
        <f t="shared" si="18"/>
        <v>5820</v>
      </c>
      <c r="E442" t="s">
        <v>261</v>
      </c>
      <c r="F442">
        <v>5.7</v>
      </c>
      <c r="G442" t="s">
        <v>1431</v>
      </c>
      <c r="H442" s="11" t="s">
        <v>1432</v>
      </c>
      <c r="I442" s="6">
        <v>82620000</v>
      </c>
      <c r="J442" s="9">
        <f t="shared" si="19"/>
        <v>851752.57731958758</v>
      </c>
      <c r="K442" s="9">
        <f t="shared" si="20"/>
        <v>14195.876288659794</v>
      </c>
    </row>
    <row r="443" spans="1:11" x14ac:dyDescent="0.25">
      <c r="A443" t="s">
        <v>1434</v>
      </c>
      <c r="B443">
        <v>2014</v>
      </c>
      <c r="C443" s="8">
        <v>88</v>
      </c>
      <c r="D443" s="8">
        <f t="shared" si="18"/>
        <v>5280</v>
      </c>
      <c r="E443" t="s">
        <v>116</v>
      </c>
      <c r="F443">
        <v>5.7</v>
      </c>
      <c r="G443" t="s">
        <v>1435</v>
      </c>
      <c r="H443" s="11">
        <v>27279</v>
      </c>
      <c r="I443" s="6">
        <v>60000</v>
      </c>
      <c r="J443" s="9">
        <f t="shared" si="19"/>
        <v>681.81818181818187</v>
      </c>
      <c r="K443" s="9">
        <f t="shared" si="20"/>
        <v>11.363636363636363</v>
      </c>
    </row>
    <row r="444" spans="1:11" x14ac:dyDescent="0.25">
      <c r="A444" t="s">
        <v>1436</v>
      </c>
      <c r="B444">
        <v>2013</v>
      </c>
      <c r="C444" s="8">
        <v>106</v>
      </c>
      <c r="D444" s="8">
        <f t="shared" si="18"/>
        <v>6360</v>
      </c>
      <c r="E444" t="s">
        <v>72</v>
      </c>
      <c r="F444">
        <v>5.7</v>
      </c>
      <c r="G444" t="s">
        <v>1037</v>
      </c>
      <c r="H444" s="11">
        <v>31209</v>
      </c>
      <c r="I444" s="6">
        <v>0</v>
      </c>
      <c r="J444" s="9">
        <f t="shared" si="19"/>
        <v>0</v>
      </c>
      <c r="K444" s="9">
        <f t="shared" si="20"/>
        <v>0</v>
      </c>
    </row>
    <row r="445" spans="1:11" x14ac:dyDescent="0.25">
      <c r="A445" t="s">
        <v>818</v>
      </c>
      <c r="B445">
        <v>2019</v>
      </c>
      <c r="C445" s="8">
        <v>101</v>
      </c>
      <c r="D445" s="8">
        <f t="shared" si="18"/>
        <v>6060</v>
      </c>
      <c r="E445" t="s">
        <v>14</v>
      </c>
      <c r="F445">
        <v>5.7</v>
      </c>
      <c r="G445" t="s">
        <v>1437</v>
      </c>
      <c r="H445" s="11">
        <v>94828</v>
      </c>
      <c r="I445" s="6">
        <v>54720000</v>
      </c>
      <c r="J445" s="9">
        <f t="shared" si="19"/>
        <v>541782.17821782175</v>
      </c>
      <c r="K445" s="9">
        <f t="shared" si="20"/>
        <v>9029.7029702970303</v>
      </c>
    </row>
    <row r="446" spans="1:11" x14ac:dyDescent="0.25">
      <c r="A446" t="s">
        <v>1439</v>
      </c>
      <c r="B446">
        <v>2011</v>
      </c>
      <c r="C446" s="8">
        <v>87</v>
      </c>
      <c r="D446" s="8">
        <f t="shared" si="18"/>
        <v>5220</v>
      </c>
      <c r="E446" t="s">
        <v>438</v>
      </c>
      <c r="F446">
        <v>5.7</v>
      </c>
      <c r="G446" t="s">
        <v>999</v>
      </c>
      <c r="H446" s="11" t="s">
        <v>1440</v>
      </c>
      <c r="I446" s="6">
        <v>29140000</v>
      </c>
      <c r="J446" s="9">
        <f t="shared" si="19"/>
        <v>334942.52873563219</v>
      </c>
      <c r="K446" s="9">
        <f t="shared" si="20"/>
        <v>5582.3754789272034</v>
      </c>
    </row>
    <row r="447" spans="1:11" x14ac:dyDescent="0.25">
      <c r="A447" t="s">
        <v>1442</v>
      </c>
      <c r="B447">
        <v>2010</v>
      </c>
      <c r="C447" s="8">
        <v>82</v>
      </c>
      <c r="D447" s="8">
        <f t="shared" si="18"/>
        <v>4920</v>
      </c>
      <c r="E447" t="s">
        <v>187</v>
      </c>
      <c r="F447">
        <v>5.7</v>
      </c>
      <c r="G447" t="s">
        <v>1443</v>
      </c>
      <c r="H447" s="11">
        <v>38724</v>
      </c>
      <c r="I447" s="6">
        <v>100000</v>
      </c>
      <c r="J447" s="9">
        <f t="shared" si="19"/>
        <v>1219.5121951219512</v>
      </c>
      <c r="K447" s="9">
        <f t="shared" si="20"/>
        <v>20.325203252032519</v>
      </c>
    </row>
    <row r="448" spans="1:11" x14ac:dyDescent="0.25">
      <c r="A448" t="s">
        <v>720</v>
      </c>
      <c r="B448">
        <v>2019</v>
      </c>
      <c r="C448" s="8">
        <v>90</v>
      </c>
      <c r="D448" s="8">
        <f t="shared" si="18"/>
        <v>5400</v>
      </c>
      <c r="E448" t="s">
        <v>83</v>
      </c>
      <c r="F448">
        <v>5.7</v>
      </c>
      <c r="G448" t="s">
        <v>1444</v>
      </c>
      <c r="H448" s="11">
        <v>54170</v>
      </c>
      <c r="I448" s="6">
        <v>29210000</v>
      </c>
      <c r="J448" s="9">
        <f t="shared" si="19"/>
        <v>324555.55555555556</v>
      </c>
      <c r="K448" s="9">
        <f t="shared" si="20"/>
        <v>5409.2592592592591</v>
      </c>
    </row>
    <row r="449" spans="1:11" x14ac:dyDescent="0.25">
      <c r="A449" t="s">
        <v>1446</v>
      </c>
      <c r="B449">
        <v>2014</v>
      </c>
      <c r="C449" s="8">
        <v>100</v>
      </c>
      <c r="D449" s="8">
        <f t="shared" si="18"/>
        <v>6000</v>
      </c>
      <c r="E449" t="s">
        <v>72</v>
      </c>
      <c r="F449">
        <v>5.7</v>
      </c>
      <c r="G449" t="s">
        <v>1447</v>
      </c>
      <c r="H449" s="11">
        <v>25286</v>
      </c>
      <c r="I449" s="6">
        <v>60000</v>
      </c>
      <c r="J449" s="9">
        <f t="shared" si="19"/>
        <v>600</v>
      </c>
      <c r="K449" s="9">
        <f t="shared" si="20"/>
        <v>10</v>
      </c>
    </row>
    <row r="450" spans="1:11" x14ac:dyDescent="0.25">
      <c r="A450" t="s">
        <v>1448</v>
      </c>
      <c r="B450">
        <v>2010</v>
      </c>
      <c r="C450" s="8">
        <v>91</v>
      </c>
      <c r="D450" s="8">
        <f t="shared" si="18"/>
        <v>5460</v>
      </c>
      <c r="E450" t="s">
        <v>178</v>
      </c>
      <c r="F450">
        <v>5.7</v>
      </c>
      <c r="G450" t="s">
        <v>1449</v>
      </c>
      <c r="H450" s="11" t="s">
        <v>1450</v>
      </c>
      <c r="I450" s="6">
        <v>84750000</v>
      </c>
      <c r="J450" s="9">
        <f t="shared" si="19"/>
        <v>931318.68131868134</v>
      </c>
      <c r="K450" s="9">
        <f t="shared" si="20"/>
        <v>15521.978021978022</v>
      </c>
    </row>
    <row r="451" spans="1:11" x14ac:dyDescent="0.25">
      <c r="A451" t="s">
        <v>1452</v>
      </c>
      <c r="B451">
        <v>2010</v>
      </c>
      <c r="C451" s="8">
        <v>87</v>
      </c>
      <c r="D451" s="8">
        <f t="shared" ref="D451:D514" si="21">C451*60</f>
        <v>5220</v>
      </c>
      <c r="E451" t="s">
        <v>14</v>
      </c>
      <c r="F451">
        <v>5.7</v>
      </c>
      <c r="G451" t="s">
        <v>1028</v>
      </c>
      <c r="H451" s="11">
        <v>50953</v>
      </c>
      <c r="I451" s="6">
        <v>41030000</v>
      </c>
      <c r="J451" s="9">
        <f t="shared" ref="J451:J514" si="22">I451/C451</f>
        <v>471609.19540229888</v>
      </c>
      <c r="K451" s="9">
        <f t="shared" ref="K451:K514" si="23">I451/D451</f>
        <v>7860.1532567049808</v>
      </c>
    </row>
    <row r="452" spans="1:11" x14ac:dyDescent="0.25">
      <c r="A452" t="s">
        <v>1454</v>
      </c>
      <c r="B452">
        <v>2014</v>
      </c>
      <c r="C452" s="8">
        <v>87</v>
      </c>
      <c r="D452" s="8">
        <f t="shared" si="21"/>
        <v>5220</v>
      </c>
      <c r="E452" t="s">
        <v>28</v>
      </c>
      <c r="F452">
        <v>5.7</v>
      </c>
      <c r="G452" t="s">
        <v>648</v>
      </c>
      <c r="H452" s="11">
        <v>26685</v>
      </c>
      <c r="I452" s="6">
        <v>10000</v>
      </c>
      <c r="J452" s="9">
        <f t="shared" si="22"/>
        <v>114.94252873563218</v>
      </c>
      <c r="K452" s="9">
        <f t="shared" si="23"/>
        <v>1.9157088122605364</v>
      </c>
    </row>
    <row r="453" spans="1:11" x14ac:dyDescent="0.25">
      <c r="A453" t="s">
        <v>1455</v>
      </c>
      <c r="B453">
        <v>2012</v>
      </c>
      <c r="C453" s="8">
        <v>84</v>
      </c>
      <c r="D453" s="8">
        <f t="shared" si="21"/>
        <v>5040</v>
      </c>
      <c r="E453" t="s">
        <v>344</v>
      </c>
      <c r="F453">
        <v>5.7</v>
      </c>
      <c r="G453" t="s">
        <v>1456</v>
      </c>
      <c r="H453" s="11">
        <v>28565</v>
      </c>
      <c r="I453" s="6">
        <v>30000</v>
      </c>
      <c r="J453" s="9">
        <f t="shared" si="22"/>
        <v>357.14285714285717</v>
      </c>
      <c r="K453" s="9">
        <f t="shared" si="23"/>
        <v>5.9523809523809526</v>
      </c>
    </row>
    <row r="454" spans="1:11" x14ac:dyDescent="0.25">
      <c r="A454" t="s">
        <v>1457</v>
      </c>
      <c r="B454">
        <v>2018</v>
      </c>
      <c r="C454" s="8">
        <v>113</v>
      </c>
      <c r="D454" s="8">
        <f t="shared" si="21"/>
        <v>6780</v>
      </c>
      <c r="E454" t="s">
        <v>325</v>
      </c>
      <c r="F454">
        <v>5.6</v>
      </c>
      <c r="G454" t="s">
        <v>1458</v>
      </c>
      <c r="H454" s="11" t="s">
        <v>1459</v>
      </c>
      <c r="I454" s="6">
        <v>143010000</v>
      </c>
      <c r="J454" s="9">
        <f t="shared" si="22"/>
        <v>1265575.2212389382</v>
      </c>
      <c r="K454" s="9">
        <f t="shared" si="23"/>
        <v>21092.920353982299</v>
      </c>
    </row>
    <row r="455" spans="1:11" x14ac:dyDescent="0.25">
      <c r="A455" t="s">
        <v>1461</v>
      </c>
      <c r="B455">
        <v>2022</v>
      </c>
      <c r="C455" s="8">
        <v>93</v>
      </c>
      <c r="D455" s="8">
        <f t="shared" si="21"/>
        <v>5580</v>
      </c>
      <c r="E455" t="s">
        <v>307</v>
      </c>
      <c r="F455">
        <v>5.6</v>
      </c>
      <c r="G455" t="s">
        <v>1462</v>
      </c>
      <c r="H455" s="11">
        <v>34598</v>
      </c>
      <c r="I455" s="6">
        <v>31850000</v>
      </c>
      <c r="J455" s="9">
        <f t="shared" si="22"/>
        <v>342473.1182795699</v>
      </c>
      <c r="K455" s="9">
        <f t="shared" si="23"/>
        <v>5707.8853046594986</v>
      </c>
    </row>
    <row r="456" spans="1:11" x14ac:dyDescent="0.25">
      <c r="A456" t="s">
        <v>1464</v>
      </c>
      <c r="B456">
        <v>2002</v>
      </c>
      <c r="C456" s="8">
        <v>91</v>
      </c>
      <c r="D456" s="8">
        <f t="shared" si="21"/>
        <v>5460</v>
      </c>
      <c r="E456" t="s">
        <v>14</v>
      </c>
      <c r="F456">
        <v>5.6</v>
      </c>
      <c r="G456" t="s">
        <v>1465</v>
      </c>
      <c r="H456" s="11" t="s">
        <v>1466</v>
      </c>
      <c r="I456" s="6">
        <v>30110000</v>
      </c>
      <c r="J456" s="9">
        <f t="shared" si="22"/>
        <v>330879.12087912089</v>
      </c>
      <c r="K456" s="9">
        <f t="shared" si="23"/>
        <v>5514.6520146520143</v>
      </c>
    </row>
    <row r="457" spans="1:11" x14ac:dyDescent="0.25">
      <c r="A457" t="s">
        <v>1468</v>
      </c>
      <c r="B457">
        <v>2000</v>
      </c>
      <c r="C457" s="8">
        <v>116</v>
      </c>
      <c r="D457" s="8">
        <f t="shared" si="21"/>
        <v>6960</v>
      </c>
      <c r="E457" t="s">
        <v>178</v>
      </c>
      <c r="F457">
        <v>5.6</v>
      </c>
      <c r="G457" t="s">
        <v>198</v>
      </c>
      <c r="H457" s="11" t="s">
        <v>1469</v>
      </c>
      <c r="I457" s="6">
        <v>89140000</v>
      </c>
      <c r="J457" s="9">
        <f t="shared" si="22"/>
        <v>768448.27586206899</v>
      </c>
      <c r="K457" s="9">
        <f t="shared" si="23"/>
        <v>12807.471264367816</v>
      </c>
    </row>
    <row r="458" spans="1:11" x14ac:dyDescent="0.25">
      <c r="A458" t="s">
        <v>1471</v>
      </c>
      <c r="B458">
        <v>1998</v>
      </c>
      <c r="C458" s="8">
        <v>99</v>
      </c>
      <c r="D458" s="8">
        <f t="shared" si="21"/>
        <v>5940</v>
      </c>
      <c r="E458" t="s">
        <v>14</v>
      </c>
      <c r="F458">
        <v>5.6</v>
      </c>
      <c r="G458" t="s">
        <v>1472</v>
      </c>
      <c r="H458" s="11">
        <v>68975</v>
      </c>
      <c r="I458" s="6">
        <v>38070000</v>
      </c>
      <c r="J458" s="9">
        <f t="shared" si="22"/>
        <v>384545.45454545453</v>
      </c>
      <c r="K458" s="9">
        <f t="shared" si="23"/>
        <v>6409.090909090909</v>
      </c>
    </row>
    <row r="459" spans="1:11" x14ac:dyDescent="0.25">
      <c r="A459" t="s">
        <v>1474</v>
      </c>
      <c r="B459">
        <v>2001</v>
      </c>
      <c r="C459" s="8">
        <v>91</v>
      </c>
      <c r="D459" s="8">
        <f t="shared" si="21"/>
        <v>5460</v>
      </c>
      <c r="E459" t="s">
        <v>48</v>
      </c>
      <c r="F459">
        <v>5.6</v>
      </c>
      <c r="G459" t="s">
        <v>1465</v>
      </c>
      <c r="H459" s="11">
        <v>90122</v>
      </c>
      <c r="I459" s="6">
        <v>41870000</v>
      </c>
      <c r="J459" s="9">
        <f t="shared" si="22"/>
        <v>460109.89010989008</v>
      </c>
      <c r="K459" s="9">
        <f t="shared" si="23"/>
        <v>7668.4981684981685</v>
      </c>
    </row>
    <row r="460" spans="1:11" x14ac:dyDescent="0.25">
      <c r="A460" t="s">
        <v>1476</v>
      </c>
      <c r="B460">
        <v>1984</v>
      </c>
      <c r="C460" s="8">
        <v>92</v>
      </c>
      <c r="D460" s="8">
        <f t="shared" si="21"/>
        <v>5520</v>
      </c>
      <c r="E460" t="s">
        <v>72</v>
      </c>
      <c r="F460">
        <v>5.6</v>
      </c>
      <c r="G460" t="s">
        <v>1477</v>
      </c>
      <c r="H460" s="11">
        <v>54851</v>
      </c>
      <c r="I460" s="6">
        <v>14570000</v>
      </c>
      <c r="J460" s="9">
        <f t="shared" si="22"/>
        <v>158369.5652173913</v>
      </c>
      <c r="K460" s="9">
        <f t="shared" si="23"/>
        <v>2639.4927536231885</v>
      </c>
    </row>
    <row r="461" spans="1:11" x14ac:dyDescent="0.25">
      <c r="A461" t="s">
        <v>1479</v>
      </c>
      <c r="B461">
        <v>2017</v>
      </c>
      <c r="C461" s="8">
        <v>89</v>
      </c>
      <c r="D461" s="8">
        <f t="shared" si="21"/>
        <v>5340</v>
      </c>
      <c r="E461" t="s">
        <v>504</v>
      </c>
      <c r="F461">
        <v>5.6</v>
      </c>
      <c r="G461" t="s">
        <v>1480</v>
      </c>
      <c r="H461" s="11">
        <v>58160</v>
      </c>
      <c r="I461" s="6">
        <v>44310000</v>
      </c>
      <c r="J461" s="9">
        <f t="shared" si="22"/>
        <v>497865.16853932582</v>
      </c>
      <c r="K461" s="9">
        <f t="shared" si="23"/>
        <v>8297.7528089887637</v>
      </c>
    </row>
    <row r="462" spans="1:11" x14ac:dyDescent="0.25">
      <c r="A462" t="s">
        <v>1482</v>
      </c>
      <c r="B462">
        <v>2018</v>
      </c>
      <c r="C462" s="8">
        <v>111</v>
      </c>
      <c r="D462" s="8">
        <f t="shared" si="21"/>
        <v>6660</v>
      </c>
      <c r="E462" t="s">
        <v>451</v>
      </c>
      <c r="F462">
        <v>5.6</v>
      </c>
      <c r="G462" t="s">
        <v>1483</v>
      </c>
      <c r="H462" s="11" t="s">
        <v>1484</v>
      </c>
      <c r="I462" s="6">
        <v>59870000</v>
      </c>
      <c r="J462" s="9">
        <f t="shared" si="22"/>
        <v>539369.36936936935</v>
      </c>
      <c r="K462" s="9">
        <f t="shared" si="23"/>
        <v>8989.4894894894896</v>
      </c>
    </row>
    <row r="463" spans="1:11" x14ac:dyDescent="0.25">
      <c r="A463" t="s">
        <v>1486</v>
      </c>
      <c r="B463">
        <v>2004</v>
      </c>
      <c r="C463" s="8">
        <v>101</v>
      </c>
      <c r="D463" s="8">
        <f t="shared" si="21"/>
        <v>6060</v>
      </c>
      <c r="E463" t="s">
        <v>62</v>
      </c>
      <c r="F463">
        <v>5.6</v>
      </c>
      <c r="G463" t="s">
        <v>686</v>
      </c>
      <c r="H463" s="11" t="s">
        <v>1487</v>
      </c>
      <c r="I463" s="6">
        <v>80280000</v>
      </c>
      <c r="J463" s="9">
        <f t="shared" si="22"/>
        <v>794851.48514851485</v>
      </c>
      <c r="K463" s="9">
        <f t="shared" si="23"/>
        <v>13247.524752475247</v>
      </c>
    </row>
    <row r="464" spans="1:11" x14ac:dyDescent="0.25">
      <c r="A464" t="s">
        <v>1489</v>
      </c>
      <c r="B464">
        <v>2002</v>
      </c>
      <c r="C464" s="8">
        <v>93</v>
      </c>
      <c r="D464" s="8">
        <f t="shared" si="21"/>
        <v>5580</v>
      </c>
      <c r="E464" t="s">
        <v>30</v>
      </c>
      <c r="F464">
        <v>5.6</v>
      </c>
      <c r="G464" t="s">
        <v>1247</v>
      </c>
      <c r="H464" s="11">
        <v>80830</v>
      </c>
      <c r="I464" s="6">
        <v>21160000</v>
      </c>
      <c r="J464" s="9">
        <f t="shared" si="22"/>
        <v>227526.8817204301</v>
      </c>
      <c r="K464" s="9">
        <f t="shared" si="23"/>
        <v>3792.1146953405018</v>
      </c>
    </row>
    <row r="465" spans="1:11" x14ac:dyDescent="0.25">
      <c r="A465" t="s">
        <v>1491</v>
      </c>
      <c r="B465">
        <v>1982</v>
      </c>
      <c r="C465" s="8">
        <v>95</v>
      </c>
      <c r="D465" s="8">
        <f t="shared" si="21"/>
        <v>5700</v>
      </c>
      <c r="E465" t="s">
        <v>72</v>
      </c>
      <c r="F465">
        <v>5.6</v>
      </c>
      <c r="G465" t="s">
        <v>1158</v>
      </c>
      <c r="H465" s="11">
        <v>56597</v>
      </c>
      <c r="I465" s="6">
        <v>36690000</v>
      </c>
      <c r="J465" s="9">
        <f t="shared" si="22"/>
        <v>386210.5263157895</v>
      </c>
      <c r="K465" s="9">
        <f t="shared" si="23"/>
        <v>6436.8421052631575</v>
      </c>
    </row>
    <row r="466" spans="1:11" x14ac:dyDescent="0.25">
      <c r="A466" t="s">
        <v>1493</v>
      </c>
      <c r="B466">
        <v>2003</v>
      </c>
      <c r="C466" s="8">
        <v>104</v>
      </c>
      <c r="D466" s="8">
        <f t="shared" si="21"/>
        <v>6240</v>
      </c>
      <c r="E466" t="s">
        <v>30</v>
      </c>
      <c r="F466">
        <v>5.6</v>
      </c>
      <c r="G466" t="s">
        <v>1042</v>
      </c>
      <c r="H466" s="11">
        <v>68038</v>
      </c>
      <c r="I466" s="6">
        <v>35670000</v>
      </c>
      <c r="J466" s="9">
        <f t="shared" si="22"/>
        <v>342980.76923076925</v>
      </c>
      <c r="K466" s="9">
        <f t="shared" si="23"/>
        <v>5716.3461538461543</v>
      </c>
    </row>
    <row r="467" spans="1:11" x14ac:dyDescent="0.25">
      <c r="A467" t="s">
        <v>1495</v>
      </c>
      <c r="B467">
        <v>2019</v>
      </c>
      <c r="C467" s="8">
        <v>99</v>
      </c>
      <c r="D467" s="8">
        <f t="shared" si="21"/>
        <v>5940</v>
      </c>
      <c r="E467" t="s">
        <v>14</v>
      </c>
      <c r="F467">
        <v>5.6</v>
      </c>
      <c r="G467" t="s">
        <v>1496</v>
      </c>
      <c r="H467" s="11">
        <v>55805</v>
      </c>
      <c r="I467" s="6">
        <v>45370000</v>
      </c>
      <c r="J467" s="9">
        <f t="shared" si="22"/>
        <v>458282.82828282827</v>
      </c>
      <c r="K467" s="9">
        <f t="shared" si="23"/>
        <v>7638.0471380471381</v>
      </c>
    </row>
    <row r="468" spans="1:11" x14ac:dyDescent="0.25">
      <c r="A468" t="s">
        <v>1498</v>
      </c>
      <c r="B468">
        <v>2015</v>
      </c>
      <c r="C468" s="8">
        <v>95</v>
      </c>
      <c r="D468" s="8">
        <f t="shared" si="21"/>
        <v>5700</v>
      </c>
      <c r="E468" t="s">
        <v>83</v>
      </c>
      <c r="F468">
        <v>5.6</v>
      </c>
      <c r="G468" t="s">
        <v>1499</v>
      </c>
      <c r="H468" s="11">
        <v>45541</v>
      </c>
      <c r="I468" s="6">
        <v>190000</v>
      </c>
      <c r="J468" s="9">
        <f t="shared" si="22"/>
        <v>2000</v>
      </c>
      <c r="K468" s="9">
        <f t="shared" si="23"/>
        <v>33.333333333333336</v>
      </c>
    </row>
    <row r="469" spans="1:11" x14ac:dyDescent="0.25">
      <c r="A469" t="s">
        <v>1501</v>
      </c>
      <c r="B469">
        <v>2014</v>
      </c>
      <c r="C469" s="8">
        <v>83</v>
      </c>
      <c r="D469" s="8">
        <f t="shared" si="21"/>
        <v>4980</v>
      </c>
      <c r="E469" t="s">
        <v>14</v>
      </c>
      <c r="F469">
        <v>5.6</v>
      </c>
      <c r="G469" t="s">
        <v>1502</v>
      </c>
      <c r="H469" s="11">
        <v>78487</v>
      </c>
      <c r="I469" s="6">
        <v>32480000</v>
      </c>
      <c r="J469" s="9">
        <f t="shared" si="22"/>
        <v>391325.30120481929</v>
      </c>
      <c r="K469" s="9">
        <f t="shared" si="23"/>
        <v>6522.0883534136547</v>
      </c>
    </row>
    <row r="470" spans="1:11" x14ac:dyDescent="0.25">
      <c r="A470" t="s">
        <v>1504</v>
      </c>
      <c r="B470">
        <v>1998</v>
      </c>
      <c r="C470" s="8">
        <v>89</v>
      </c>
      <c r="D470" s="8">
        <f t="shared" si="21"/>
        <v>5340</v>
      </c>
      <c r="E470" t="s">
        <v>308</v>
      </c>
      <c r="F470">
        <v>5.6</v>
      </c>
      <c r="G470" t="s">
        <v>1431</v>
      </c>
      <c r="H470" s="11">
        <v>61366</v>
      </c>
      <c r="I470" s="6">
        <v>32400000</v>
      </c>
      <c r="J470" s="9">
        <f t="shared" si="22"/>
        <v>364044.94382022473</v>
      </c>
      <c r="K470" s="9">
        <f t="shared" si="23"/>
        <v>6067.4157303370785</v>
      </c>
    </row>
    <row r="471" spans="1:11" x14ac:dyDescent="0.25">
      <c r="A471" t="s">
        <v>1506</v>
      </c>
      <c r="B471">
        <v>1986</v>
      </c>
      <c r="C471" s="8">
        <v>101</v>
      </c>
      <c r="D471" s="8">
        <f t="shared" si="21"/>
        <v>6060</v>
      </c>
      <c r="E471" t="s">
        <v>44</v>
      </c>
      <c r="F471">
        <v>5.6</v>
      </c>
      <c r="G471" t="s">
        <v>217</v>
      </c>
      <c r="H471" s="11">
        <v>35333</v>
      </c>
      <c r="I471" s="6">
        <v>8030000</v>
      </c>
      <c r="J471" s="9">
        <f t="shared" si="22"/>
        <v>79504.950495049503</v>
      </c>
      <c r="K471" s="9">
        <f t="shared" si="23"/>
        <v>1325.0825082508252</v>
      </c>
    </row>
    <row r="472" spans="1:11" x14ac:dyDescent="0.25">
      <c r="A472" t="s">
        <v>602</v>
      </c>
      <c r="B472">
        <v>1999</v>
      </c>
      <c r="C472" s="8">
        <v>93</v>
      </c>
      <c r="D472" s="8">
        <f t="shared" si="21"/>
        <v>5580</v>
      </c>
      <c r="E472" t="s">
        <v>14</v>
      </c>
      <c r="F472">
        <v>5.6</v>
      </c>
      <c r="G472" t="s">
        <v>1508</v>
      </c>
      <c r="H472" s="11">
        <v>58487</v>
      </c>
      <c r="I472" s="6">
        <v>40850000</v>
      </c>
      <c r="J472" s="9">
        <f t="shared" si="22"/>
        <v>439247.31182795699</v>
      </c>
      <c r="K472" s="9">
        <f t="shared" si="23"/>
        <v>7320.7885304659494</v>
      </c>
    </row>
    <row r="473" spans="1:11" x14ac:dyDescent="0.25">
      <c r="A473" t="s">
        <v>1510</v>
      </c>
      <c r="B473">
        <v>1995</v>
      </c>
      <c r="C473" s="8">
        <v>98</v>
      </c>
      <c r="D473" s="8">
        <f t="shared" si="21"/>
        <v>5880</v>
      </c>
      <c r="E473" t="s">
        <v>344</v>
      </c>
      <c r="F473">
        <v>5.6</v>
      </c>
      <c r="G473" t="s">
        <v>25</v>
      </c>
      <c r="H473" s="11">
        <v>33118</v>
      </c>
      <c r="I473" s="6">
        <v>9420000</v>
      </c>
      <c r="J473" s="9">
        <f t="shared" si="22"/>
        <v>96122.448979591834</v>
      </c>
      <c r="K473" s="9">
        <f t="shared" si="23"/>
        <v>1602.0408163265306</v>
      </c>
    </row>
    <row r="474" spans="1:11" x14ac:dyDescent="0.25">
      <c r="A474" t="s">
        <v>1512</v>
      </c>
      <c r="B474">
        <v>2015</v>
      </c>
      <c r="C474" s="8">
        <v>106</v>
      </c>
      <c r="D474" s="8">
        <f t="shared" si="21"/>
        <v>6360</v>
      </c>
      <c r="E474" t="s">
        <v>1513</v>
      </c>
      <c r="F474">
        <v>5.6</v>
      </c>
      <c r="G474" t="s">
        <v>128</v>
      </c>
      <c r="H474" s="11">
        <v>41510</v>
      </c>
      <c r="I474" s="6">
        <v>50000</v>
      </c>
      <c r="J474" s="9">
        <f t="shared" si="22"/>
        <v>471.69811320754718</v>
      </c>
      <c r="K474" s="9">
        <f t="shared" si="23"/>
        <v>7.8616352201257858</v>
      </c>
    </row>
    <row r="475" spans="1:11" x14ac:dyDescent="0.25">
      <c r="A475" t="s">
        <v>1514</v>
      </c>
      <c r="B475">
        <v>1988</v>
      </c>
      <c r="C475" s="8">
        <v>93</v>
      </c>
      <c r="D475" s="8">
        <f t="shared" si="21"/>
        <v>5580</v>
      </c>
      <c r="E475" t="s">
        <v>30</v>
      </c>
      <c r="F475">
        <v>5.6</v>
      </c>
      <c r="G475" t="s">
        <v>1020</v>
      </c>
      <c r="H475" s="11">
        <v>58602</v>
      </c>
      <c r="I475" s="6">
        <v>49370000</v>
      </c>
      <c r="J475" s="9">
        <f t="shared" si="22"/>
        <v>530860.21505376347</v>
      </c>
      <c r="K475" s="9">
        <f t="shared" si="23"/>
        <v>8847.670250896057</v>
      </c>
    </row>
    <row r="476" spans="1:11" x14ac:dyDescent="0.25">
      <c r="A476" t="s">
        <v>1516</v>
      </c>
      <c r="B476">
        <v>2013</v>
      </c>
      <c r="C476" s="8">
        <v>97</v>
      </c>
      <c r="D476" s="8">
        <f t="shared" si="21"/>
        <v>5820</v>
      </c>
      <c r="E476" t="s">
        <v>72</v>
      </c>
      <c r="F476">
        <v>5.6</v>
      </c>
      <c r="G476" t="s">
        <v>1517</v>
      </c>
      <c r="H476" s="11">
        <v>41474</v>
      </c>
      <c r="I476" s="6">
        <v>3800000</v>
      </c>
      <c r="J476" s="9">
        <f t="shared" si="22"/>
        <v>39175.257731958765</v>
      </c>
      <c r="K476" s="9">
        <f t="shared" si="23"/>
        <v>652.92096219931273</v>
      </c>
    </row>
    <row r="477" spans="1:11" x14ac:dyDescent="0.25">
      <c r="A477" t="s">
        <v>1519</v>
      </c>
      <c r="B477">
        <v>1986</v>
      </c>
      <c r="C477" s="8">
        <v>91</v>
      </c>
      <c r="D477" s="8">
        <f t="shared" si="21"/>
        <v>5460</v>
      </c>
      <c r="E477" t="s">
        <v>30</v>
      </c>
      <c r="F477">
        <v>5.6</v>
      </c>
      <c r="G477" t="s">
        <v>1520</v>
      </c>
      <c r="H477" s="11">
        <v>28529</v>
      </c>
      <c r="I477" s="6">
        <v>41000000</v>
      </c>
      <c r="J477" s="9">
        <f t="shared" si="22"/>
        <v>450549.45054945053</v>
      </c>
      <c r="K477" s="9">
        <f t="shared" si="23"/>
        <v>7509.1575091575096</v>
      </c>
    </row>
    <row r="478" spans="1:11" x14ac:dyDescent="0.25">
      <c r="A478" t="s">
        <v>679</v>
      </c>
      <c r="B478">
        <v>2005</v>
      </c>
      <c r="C478" s="8">
        <v>105</v>
      </c>
      <c r="D478" s="8">
        <f t="shared" si="21"/>
        <v>6300</v>
      </c>
      <c r="E478" t="s">
        <v>42</v>
      </c>
      <c r="F478">
        <v>5.6</v>
      </c>
      <c r="G478" t="s">
        <v>1522</v>
      </c>
      <c r="H478" s="11">
        <v>64235</v>
      </c>
      <c r="I478" s="6">
        <v>25470000</v>
      </c>
      <c r="J478" s="9">
        <f t="shared" si="22"/>
        <v>242571.42857142858</v>
      </c>
      <c r="K478" s="9">
        <f t="shared" si="23"/>
        <v>4042.8571428571427</v>
      </c>
    </row>
    <row r="479" spans="1:11" x14ac:dyDescent="0.25">
      <c r="A479" t="s">
        <v>1524</v>
      </c>
      <c r="B479">
        <v>2006</v>
      </c>
      <c r="C479" s="8">
        <v>93</v>
      </c>
      <c r="D479" s="8">
        <f t="shared" si="21"/>
        <v>5580</v>
      </c>
      <c r="E479" t="s">
        <v>308</v>
      </c>
      <c r="F479">
        <v>5.6</v>
      </c>
      <c r="G479" t="s">
        <v>1525</v>
      </c>
      <c r="H479" s="11">
        <v>32231</v>
      </c>
      <c r="I479" s="6">
        <v>160000</v>
      </c>
      <c r="J479" s="9">
        <f t="shared" si="22"/>
        <v>1720.4301075268818</v>
      </c>
      <c r="K479" s="9">
        <f t="shared" si="23"/>
        <v>28.673835125448029</v>
      </c>
    </row>
    <row r="480" spans="1:11" x14ac:dyDescent="0.25">
      <c r="A480" t="s">
        <v>1526</v>
      </c>
      <c r="B480">
        <v>2004</v>
      </c>
      <c r="C480" s="8">
        <v>104</v>
      </c>
      <c r="D480" s="8">
        <f t="shared" si="21"/>
        <v>6240</v>
      </c>
      <c r="E480" t="s">
        <v>242</v>
      </c>
      <c r="F480">
        <v>5.6</v>
      </c>
      <c r="G480" t="s">
        <v>1527</v>
      </c>
      <c r="H480" s="11">
        <v>30873</v>
      </c>
      <c r="I480" s="6">
        <v>4990000</v>
      </c>
      <c r="J480" s="9">
        <f t="shared" si="22"/>
        <v>47980.769230769234</v>
      </c>
      <c r="K480" s="9">
        <f t="shared" si="23"/>
        <v>799.67948717948718</v>
      </c>
    </row>
    <row r="481" spans="1:11" x14ac:dyDescent="0.25">
      <c r="A481" t="s">
        <v>1529</v>
      </c>
      <c r="B481">
        <v>2007</v>
      </c>
      <c r="C481" s="8">
        <v>99</v>
      </c>
      <c r="D481" s="8">
        <f t="shared" si="21"/>
        <v>5940</v>
      </c>
      <c r="E481" t="s">
        <v>72</v>
      </c>
      <c r="F481">
        <v>5.6</v>
      </c>
      <c r="G481" t="s">
        <v>989</v>
      </c>
      <c r="H481" s="11">
        <v>43940</v>
      </c>
      <c r="I481" s="6">
        <v>25120000</v>
      </c>
      <c r="J481" s="9">
        <f t="shared" si="22"/>
        <v>253737.37373737374</v>
      </c>
      <c r="K481" s="9">
        <f t="shared" si="23"/>
        <v>4228.9562289562291</v>
      </c>
    </row>
    <row r="482" spans="1:11" x14ac:dyDescent="0.25">
      <c r="A482" t="s">
        <v>1531</v>
      </c>
      <c r="B482">
        <v>2010</v>
      </c>
      <c r="C482" s="8">
        <v>88</v>
      </c>
      <c r="D482" s="8">
        <f t="shared" si="21"/>
        <v>5280</v>
      </c>
      <c r="E482" t="s">
        <v>44</v>
      </c>
      <c r="F482">
        <v>5.5</v>
      </c>
      <c r="G482" t="s">
        <v>639</v>
      </c>
      <c r="H482" s="11">
        <v>94107</v>
      </c>
      <c r="I482" s="6">
        <v>25000000</v>
      </c>
      <c r="J482" s="9">
        <f t="shared" si="22"/>
        <v>284090.90909090912</v>
      </c>
      <c r="K482" s="9">
        <f t="shared" si="23"/>
        <v>4734.848484848485</v>
      </c>
    </row>
    <row r="483" spans="1:11" x14ac:dyDescent="0.25">
      <c r="A483" t="s">
        <v>864</v>
      </c>
      <c r="B483">
        <v>2009</v>
      </c>
      <c r="C483" s="8">
        <v>97</v>
      </c>
      <c r="D483" s="8">
        <f t="shared" si="21"/>
        <v>5820</v>
      </c>
      <c r="E483" t="s">
        <v>14</v>
      </c>
      <c r="F483">
        <v>5.5</v>
      </c>
      <c r="G483" t="s">
        <v>1077</v>
      </c>
      <c r="H483" s="11" t="s">
        <v>1532</v>
      </c>
      <c r="I483" s="6">
        <v>65000000</v>
      </c>
      <c r="J483" s="9">
        <f t="shared" si="22"/>
        <v>670103.0927835051</v>
      </c>
      <c r="K483" s="9">
        <f t="shared" si="23"/>
        <v>11168.384879725087</v>
      </c>
    </row>
    <row r="484" spans="1:11" x14ac:dyDescent="0.25">
      <c r="A484" t="s">
        <v>1534</v>
      </c>
      <c r="B484">
        <v>2007</v>
      </c>
      <c r="C484" s="8">
        <v>94</v>
      </c>
      <c r="D484" s="8">
        <f t="shared" si="21"/>
        <v>5640</v>
      </c>
      <c r="E484" t="s">
        <v>30</v>
      </c>
      <c r="F484">
        <v>5.5</v>
      </c>
      <c r="G484" t="s">
        <v>1247</v>
      </c>
      <c r="H484" s="11">
        <v>92969</v>
      </c>
      <c r="I484" s="6">
        <v>17610000</v>
      </c>
      <c r="J484" s="9">
        <f t="shared" si="22"/>
        <v>187340.42553191489</v>
      </c>
      <c r="K484" s="9">
        <f t="shared" si="23"/>
        <v>3122.3404255319151</v>
      </c>
    </row>
    <row r="485" spans="1:11" x14ac:dyDescent="0.25">
      <c r="A485" t="s">
        <v>1536</v>
      </c>
      <c r="B485">
        <v>2021</v>
      </c>
      <c r="C485" s="8">
        <v>105</v>
      </c>
      <c r="D485" s="8">
        <f t="shared" si="21"/>
        <v>6300</v>
      </c>
      <c r="E485" t="s">
        <v>72</v>
      </c>
      <c r="F485">
        <v>5.5</v>
      </c>
      <c r="G485" t="s">
        <v>815</v>
      </c>
      <c r="H485" s="11">
        <v>91008</v>
      </c>
      <c r="I485" s="6">
        <v>92000000</v>
      </c>
      <c r="J485" s="9">
        <f t="shared" si="22"/>
        <v>876190.47619047621</v>
      </c>
      <c r="K485" s="9">
        <f t="shared" si="23"/>
        <v>14603.174603174602</v>
      </c>
    </row>
    <row r="486" spans="1:11" x14ac:dyDescent="0.25">
      <c r="A486" t="s">
        <v>1538</v>
      </c>
      <c r="B486">
        <v>2012</v>
      </c>
      <c r="C486" s="8">
        <v>101</v>
      </c>
      <c r="D486" s="8">
        <f t="shared" si="21"/>
        <v>6060</v>
      </c>
      <c r="E486" t="s">
        <v>39</v>
      </c>
      <c r="F486">
        <v>5.5</v>
      </c>
      <c r="G486" t="s">
        <v>1539</v>
      </c>
      <c r="H486" s="11">
        <v>78952</v>
      </c>
      <c r="I486" s="6">
        <v>31610000</v>
      </c>
      <c r="J486" s="9">
        <f t="shared" si="22"/>
        <v>312970.29702970298</v>
      </c>
      <c r="K486" s="9">
        <f t="shared" si="23"/>
        <v>5216.1716171617163</v>
      </c>
    </row>
    <row r="487" spans="1:11" x14ac:dyDescent="0.25">
      <c r="A487" t="s">
        <v>1541</v>
      </c>
      <c r="B487">
        <v>2019</v>
      </c>
      <c r="C487" s="8">
        <v>104</v>
      </c>
      <c r="D487" s="8">
        <f t="shared" si="21"/>
        <v>6240</v>
      </c>
      <c r="E487" t="s">
        <v>187</v>
      </c>
      <c r="F487">
        <v>5.5</v>
      </c>
      <c r="G487" t="s">
        <v>350</v>
      </c>
      <c r="H487" s="11">
        <v>82134</v>
      </c>
      <c r="I487" s="6">
        <v>6560000</v>
      </c>
      <c r="J487" s="9">
        <f t="shared" si="22"/>
        <v>63076.923076923078</v>
      </c>
      <c r="K487" s="9">
        <f t="shared" si="23"/>
        <v>1051.2820512820513</v>
      </c>
    </row>
    <row r="488" spans="1:11" x14ac:dyDescent="0.25">
      <c r="A488" t="s">
        <v>1543</v>
      </c>
      <c r="B488">
        <v>2002</v>
      </c>
      <c r="C488" s="8">
        <v>99</v>
      </c>
      <c r="D488" s="8">
        <f t="shared" si="21"/>
        <v>5940</v>
      </c>
      <c r="E488" t="s">
        <v>675</v>
      </c>
      <c r="F488">
        <v>5.5</v>
      </c>
      <c r="G488" t="s">
        <v>1544</v>
      </c>
      <c r="H488" s="11">
        <v>58839</v>
      </c>
      <c r="I488" s="6">
        <v>17320000</v>
      </c>
      <c r="J488" s="9">
        <f t="shared" si="22"/>
        <v>174949.49494949495</v>
      </c>
      <c r="K488" s="9">
        <f t="shared" si="23"/>
        <v>2915.8249158249159</v>
      </c>
    </row>
    <row r="489" spans="1:11" x14ac:dyDescent="0.25">
      <c r="A489" t="s">
        <v>1546</v>
      </c>
      <c r="B489">
        <v>2016</v>
      </c>
      <c r="C489" s="8">
        <v>107</v>
      </c>
      <c r="D489" s="8">
        <f t="shared" si="21"/>
        <v>6420</v>
      </c>
      <c r="E489" t="s">
        <v>325</v>
      </c>
      <c r="F489">
        <v>5.5</v>
      </c>
      <c r="G489" t="s">
        <v>686</v>
      </c>
      <c r="H489" s="11">
        <v>97554</v>
      </c>
      <c r="I489" s="6">
        <v>26830000</v>
      </c>
      <c r="J489" s="9">
        <f t="shared" si="22"/>
        <v>250747.66355140187</v>
      </c>
      <c r="K489" s="9">
        <f t="shared" si="23"/>
        <v>4179.1277258566979</v>
      </c>
    </row>
    <row r="490" spans="1:11" x14ac:dyDescent="0.25">
      <c r="A490" t="s">
        <v>1548</v>
      </c>
      <c r="B490">
        <v>2020</v>
      </c>
      <c r="C490" s="8">
        <v>87</v>
      </c>
      <c r="D490" s="8">
        <f t="shared" si="21"/>
        <v>5220</v>
      </c>
      <c r="E490" t="s">
        <v>284</v>
      </c>
      <c r="F490">
        <v>5.5</v>
      </c>
      <c r="G490" t="s">
        <v>1549</v>
      </c>
      <c r="H490" s="11">
        <v>32438</v>
      </c>
      <c r="I490" s="6">
        <v>15350000</v>
      </c>
      <c r="J490" s="9">
        <f t="shared" si="22"/>
        <v>176436.7816091954</v>
      </c>
      <c r="K490" s="9">
        <f t="shared" si="23"/>
        <v>2940.6130268199236</v>
      </c>
    </row>
    <row r="491" spans="1:11" x14ac:dyDescent="0.25">
      <c r="A491" t="s">
        <v>1551</v>
      </c>
      <c r="B491">
        <v>2010</v>
      </c>
      <c r="C491" s="8">
        <v>90</v>
      </c>
      <c r="D491" s="8">
        <f t="shared" si="21"/>
        <v>5400</v>
      </c>
      <c r="E491" t="s">
        <v>178</v>
      </c>
      <c r="F491">
        <v>5.5</v>
      </c>
      <c r="G491" t="s">
        <v>1232</v>
      </c>
      <c r="H491" s="11" t="s">
        <v>1552</v>
      </c>
      <c r="I491" s="6">
        <v>45710000</v>
      </c>
      <c r="J491" s="9">
        <f t="shared" si="22"/>
        <v>507888.88888888888</v>
      </c>
      <c r="K491" s="9">
        <f t="shared" si="23"/>
        <v>8464.8148148148157</v>
      </c>
    </row>
    <row r="492" spans="1:11" x14ac:dyDescent="0.25">
      <c r="A492" t="s">
        <v>1554</v>
      </c>
      <c r="B492">
        <v>2020</v>
      </c>
      <c r="C492" s="8">
        <v>116</v>
      </c>
      <c r="D492" s="8">
        <f t="shared" si="21"/>
        <v>6960</v>
      </c>
      <c r="E492" t="s">
        <v>107</v>
      </c>
      <c r="F492">
        <v>5.5</v>
      </c>
      <c r="G492" t="s">
        <v>108</v>
      </c>
      <c r="H492" s="11">
        <v>35176</v>
      </c>
      <c r="I492" s="6">
        <v>1230000</v>
      </c>
      <c r="J492" s="9">
        <f t="shared" si="22"/>
        <v>10603.448275862069</v>
      </c>
      <c r="K492" s="9">
        <f t="shared" si="23"/>
        <v>176.72413793103448</v>
      </c>
    </row>
    <row r="493" spans="1:11" x14ac:dyDescent="0.25">
      <c r="A493" t="s">
        <v>1555</v>
      </c>
      <c r="B493">
        <v>2003</v>
      </c>
      <c r="C493" s="8">
        <v>134</v>
      </c>
      <c r="D493" s="8">
        <f t="shared" si="21"/>
        <v>8040</v>
      </c>
      <c r="E493" t="s">
        <v>83</v>
      </c>
      <c r="F493">
        <v>5.5</v>
      </c>
      <c r="G493" t="s">
        <v>1556</v>
      </c>
      <c r="H493" s="11">
        <v>94534</v>
      </c>
      <c r="I493" s="6">
        <v>33720000</v>
      </c>
      <c r="J493" s="9">
        <f t="shared" si="22"/>
        <v>251641.79104477612</v>
      </c>
      <c r="K493" s="9">
        <f t="shared" si="23"/>
        <v>4194.0298507462685</v>
      </c>
    </row>
    <row r="494" spans="1:11" x14ac:dyDescent="0.25">
      <c r="A494" t="s">
        <v>1558</v>
      </c>
      <c r="B494">
        <v>2013</v>
      </c>
      <c r="C494" s="8">
        <v>98</v>
      </c>
      <c r="D494" s="8">
        <f t="shared" si="21"/>
        <v>5880</v>
      </c>
      <c r="E494" t="s">
        <v>54</v>
      </c>
      <c r="F494">
        <v>5.5</v>
      </c>
      <c r="G494" t="s">
        <v>1559</v>
      </c>
      <c r="H494" s="11">
        <v>38026</v>
      </c>
      <c r="I494" s="6">
        <v>20000</v>
      </c>
      <c r="J494" s="9">
        <f t="shared" si="22"/>
        <v>204.08163265306123</v>
      </c>
      <c r="K494" s="9">
        <f t="shared" si="23"/>
        <v>3.4013605442176869</v>
      </c>
    </row>
    <row r="495" spans="1:11" x14ac:dyDescent="0.25">
      <c r="A495" t="s">
        <v>177</v>
      </c>
      <c r="B495">
        <v>2006</v>
      </c>
      <c r="C495" s="8">
        <v>110</v>
      </c>
      <c r="D495" s="8">
        <f t="shared" si="21"/>
        <v>6600</v>
      </c>
      <c r="E495" t="s">
        <v>28</v>
      </c>
      <c r="F495">
        <v>5.5</v>
      </c>
      <c r="G495" t="s">
        <v>1560</v>
      </c>
      <c r="H495" s="11">
        <v>60750</v>
      </c>
      <c r="I495" s="6">
        <v>54610000</v>
      </c>
      <c r="J495" s="9">
        <f t="shared" si="22"/>
        <v>496454.54545454547</v>
      </c>
      <c r="K495" s="9">
        <f t="shared" si="23"/>
        <v>8274.242424242424</v>
      </c>
    </row>
    <row r="496" spans="1:11" x14ac:dyDescent="0.25">
      <c r="A496" t="s">
        <v>1562</v>
      </c>
      <c r="B496">
        <v>1992</v>
      </c>
      <c r="C496" s="8">
        <v>97</v>
      </c>
      <c r="D496" s="8">
        <f t="shared" si="21"/>
        <v>5820</v>
      </c>
      <c r="E496" t="s">
        <v>30</v>
      </c>
      <c r="F496">
        <v>5.5</v>
      </c>
      <c r="G496" t="s">
        <v>1563</v>
      </c>
      <c r="H496" s="11">
        <v>33318</v>
      </c>
      <c r="I496" s="6">
        <v>12530000</v>
      </c>
      <c r="J496" s="9">
        <f t="shared" si="22"/>
        <v>129175.25773195876</v>
      </c>
      <c r="K496" s="9">
        <f t="shared" si="23"/>
        <v>2152.9209621993127</v>
      </c>
    </row>
    <row r="497" spans="1:11" x14ac:dyDescent="0.25">
      <c r="A497" t="s">
        <v>1565</v>
      </c>
      <c r="B497">
        <v>2011</v>
      </c>
      <c r="C497" s="8">
        <v>101</v>
      </c>
      <c r="D497" s="8">
        <f t="shared" si="21"/>
        <v>6060</v>
      </c>
      <c r="E497" t="s">
        <v>42</v>
      </c>
      <c r="F497">
        <v>5.5</v>
      </c>
      <c r="G497" t="s">
        <v>417</v>
      </c>
      <c r="H497" s="11">
        <v>36301</v>
      </c>
      <c r="I497" s="6">
        <v>80000</v>
      </c>
      <c r="J497" s="9">
        <f t="shared" si="22"/>
        <v>792.0792079207921</v>
      </c>
      <c r="K497" s="9">
        <f t="shared" si="23"/>
        <v>13.201320132013201</v>
      </c>
    </row>
    <row r="498" spans="1:11" x14ac:dyDescent="0.25">
      <c r="A498" t="s">
        <v>1566</v>
      </c>
      <c r="B498">
        <v>2010</v>
      </c>
      <c r="C498" s="8">
        <v>99</v>
      </c>
      <c r="D498" s="8">
        <f t="shared" si="21"/>
        <v>5940</v>
      </c>
      <c r="E498" t="s">
        <v>819</v>
      </c>
      <c r="F498">
        <v>5.5</v>
      </c>
      <c r="G498" t="s">
        <v>1567</v>
      </c>
      <c r="H498" s="11">
        <v>49772</v>
      </c>
      <c r="I498" s="6">
        <v>24040000</v>
      </c>
      <c r="J498" s="9">
        <f t="shared" si="22"/>
        <v>242828.28282828283</v>
      </c>
      <c r="K498" s="9">
        <f t="shared" si="23"/>
        <v>4047.1380471380471</v>
      </c>
    </row>
    <row r="499" spans="1:11" x14ac:dyDescent="0.25">
      <c r="A499" t="s">
        <v>1569</v>
      </c>
      <c r="B499">
        <v>2007</v>
      </c>
      <c r="C499" s="8">
        <v>95</v>
      </c>
      <c r="D499" s="8">
        <f t="shared" si="21"/>
        <v>5700</v>
      </c>
      <c r="E499" t="s">
        <v>1570</v>
      </c>
      <c r="F499">
        <v>5.5</v>
      </c>
      <c r="G499" t="s">
        <v>73</v>
      </c>
      <c r="H499" s="11">
        <v>48380</v>
      </c>
      <c r="I499" s="6">
        <v>960000</v>
      </c>
      <c r="J499" s="9">
        <f t="shared" si="22"/>
        <v>10105.263157894737</v>
      </c>
      <c r="K499" s="9">
        <f t="shared" si="23"/>
        <v>168.42105263157896</v>
      </c>
    </row>
    <row r="500" spans="1:11" x14ac:dyDescent="0.25">
      <c r="A500" t="s">
        <v>1414</v>
      </c>
      <c r="B500">
        <v>2005</v>
      </c>
      <c r="C500" s="8">
        <v>101</v>
      </c>
      <c r="D500" s="8">
        <f t="shared" si="21"/>
        <v>6060</v>
      </c>
      <c r="E500" t="s">
        <v>42</v>
      </c>
      <c r="F500">
        <v>5.5</v>
      </c>
      <c r="G500" t="s">
        <v>1572</v>
      </c>
      <c r="H500" s="11">
        <v>49931</v>
      </c>
      <c r="I500" s="6">
        <v>56390000</v>
      </c>
      <c r="J500" s="9">
        <f t="shared" si="22"/>
        <v>558316.8316831683</v>
      </c>
      <c r="K500" s="9">
        <f t="shared" si="23"/>
        <v>9305.2805280528046</v>
      </c>
    </row>
    <row r="501" spans="1:11" x14ac:dyDescent="0.25">
      <c r="A501" t="s">
        <v>1574</v>
      </c>
      <c r="B501">
        <v>2009</v>
      </c>
      <c r="C501" s="8">
        <v>102</v>
      </c>
      <c r="D501" s="8">
        <f t="shared" si="21"/>
        <v>6120</v>
      </c>
      <c r="E501" t="s">
        <v>44</v>
      </c>
      <c r="F501">
        <v>5.4</v>
      </c>
      <c r="G501" t="s">
        <v>724</v>
      </c>
      <c r="H501" s="11" t="s">
        <v>1575</v>
      </c>
      <c r="I501" s="6">
        <v>16200000</v>
      </c>
      <c r="J501" s="9">
        <f t="shared" si="22"/>
        <v>158823.5294117647</v>
      </c>
      <c r="K501" s="9">
        <f t="shared" si="23"/>
        <v>2647.0588235294117</v>
      </c>
    </row>
    <row r="502" spans="1:11" x14ac:dyDescent="0.25">
      <c r="A502" t="s">
        <v>471</v>
      </c>
      <c r="B502">
        <v>2017</v>
      </c>
      <c r="C502" s="8">
        <v>110</v>
      </c>
      <c r="D502" s="8">
        <f t="shared" si="21"/>
        <v>6600</v>
      </c>
      <c r="E502" t="s">
        <v>451</v>
      </c>
      <c r="F502">
        <v>5.4</v>
      </c>
      <c r="G502" t="s">
        <v>1577</v>
      </c>
      <c r="H502" s="11" t="s">
        <v>1578</v>
      </c>
      <c r="I502" s="6">
        <v>80100000</v>
      </c>
      <c r="J502" s="9">
        <f t="shared" si="22"/>
        <v>728181.81818181823</v>
      </c>
      <c r="K502" s="9">
        <f t="shared" si="23"/>
        <v>12136.363636363636</v>
      </c>
    </row>
    <row r="503" spans="1:11" x14ac:dyDescent="0.25">
      <c r="A503" t="s">
        <v>1580</v>
      </c>
      <c r="B503">
        <v>2007</v>
      </c>
      <c r="C503" s="8">
        <v>94</v>
      </c>
      <c r="D503" s="8">
        <f t="shared" si="21"/>
        <v>5640</v>
      </c>
      <c r="E503" t="s">
        <v>187</v>
      </c>
      <c r="F503">
        <v>5.4</v>
      </c>
      <c r="G503" t="s">
        <v>1581</v>
      </c>
      <c r="H503" s="11">
        <v>44984</v>
      </c>
      <c r="I503" s="6">
        <v>350000</v>
      </c>
      <c r="J503" s="9">
        <f t="shared" si="22"/>
        <v>3723.4042553191489</v>
      </c>
      <c r="K503" s="9">
        <f t="shared" si="23"/>
        <v>62.056737588652481</v>
      </c>
    </row>
    <row r="504" spans="1:11" x14ac:dyDescent="0.25">
      <c r="A504" t="s">
        <v>1583</v>
      </c>
      <c r="B504">
        <v>1992</v>
      </c>
      <c r="C504" s="8">
        <v>108</v>
      </c>
      <c r="D504" s="8">
        <f t="shared" si="21"/>
        <v>6480</v>
      </c>
      <c r="E504" t="s">
        <v>9</v>
      </c>
      <c r="F504">
        <v>5.4</v>
      </c>
      <c r="G504" t="s">
        <v>1584</v>
      </c>
      <c r="H504" s="11">
        <v>37519</v>
      </c>
      <c r="I504" s="6">
        <v>32100000</v>
      </c>
      <c r="J504" s="9">
        <f t="shared" si="22"/>
        <v>297222.22222222225</v>
      </c>
      <c r="K504" s="9">
        <f t="shared" si="23"/>
        <v>4953.7037037037035</v>
      </c>
    </row>
    <row r="505" spans="1:11" x14ac:dyDescent="0.25">
      <c r="A505" t="s">
        <v>1586</v>
      </c>
      <c r="B505">
        <v>2021</v>
      </c>
      <c r="C505" s="8">
        <v>103</v>
      </c>
      <c r="D505" s="8">
        <f t="shared" si="21"/>
        <v>6180</v>
      </c>
      <c r="E505" t="s">
        <v>67</v>
      </c>
      <c r="F505">
        <v>5.4</v>
      </c>
      <c r="G505" t="s">
        <v>1587</v>
      </c>
      <c r="H505" s="11">
        <v>38456</v>
      </c>
      <c r="I505" s="6">
        <v>44540000</v>
      </c>
      <c r="J505" s="9">
        <f t="shared" si="22"/>
        <v>432427.18446601939</v>
      </c>
      <c r="K505" s="9">
        <f t="shared" si="23"/>
        <v>7207.1197411003241</v>
      </c>
    </row>
    <row r="506" spans="1:11" x14ac:dyDescent="0.25">
      <c r="A506" t="s">
        <v>1589</v>
      </c>
      <c r="B506">
        <v>2014</v>
      </c>
      <c r="C506" s="8">
        <v>99</v>
      </c>
      <c r="D506" s="8">
        <f t="shared" si="21"/>
        <v>5940</v>
      </c>
      <c r="E506" t="s">
        <v>14</v>
      </c>
      <c r="F506">
        <v>5.4</v>
      </c>
      <c r="G506" t="s">
        <v>1590</v>
      </c>
      <c r="H506" s="11" t="s">
        <v>1591</v>
      </c>
      <c r="I506" s="6">
        <v>84270000</v>
      </c>
      <c r="J506" s="9">
        <f t="shared" si="22"/>
        <v>851212.12121212122</v>
      </c>
      <c r="K506" s="9">
        <f t="shared" si="23"/>
        <v>14186.868686868687</v>
      </c>
    </row>
    <row r="507" spans="1:11" x14ac:dyDescent="0.25">
      <c r="A507" t="s">
        <v>588</v>
      </c>
      <c r="B507">
        <v>2020</v>
      </c>
      <c r="C507" s="8">
        <v>106</v>
      </c>
      <c r="D507" s="8">
        <f t="shared" si="21"/>
        <v>6360</v>
      </c>
      <c r="E507" t="s">
        <v>589</v>
      </c>
      <c r="F507">
        <v>5.4</v>
      </c>
      <c r="G507" t="s">
        <v>714</v>
      </c>
      <c r="H507" s="11">
        <v>43623</v>
      </c>
      <c r="I507" s="6">
        <v>200000</v>
      </c>
      <c r="J507" s="9">
        <f t="shared" si="22"/>
        <v>1886.7924528301887</v>
      </c>
      <c r="K507" s="9">
        <f t="shared" si="23"/>
        <v>31.446540880503143</v>
      </c>
    </row>
    <row r="508" spans="1:11" x14ac:dyDescent="0.25">
      <c r="A508" t="s">
        <v>1594</v>
      </c>
      <c r="B508">
        <v>2005</v>
      </c>
      <c r="C508" s="8">
        <v>113</v>
      </c>
      <c r="D508" s="8">
        <f t="shared" si="21"/>
        <v>6780</v>
      </c>
      <c r="E508" t="s">
        <v>72</v>
      </c>
      <c r="F508">
        <v>5.4</v>
      </c>
      <c r="G508" t="s">
        <v>419</v>
      </c>
      <c r="H508" s="11" t="s">
        <v>1595</v>
      </c>
      <c r="I508" s="6">
        <v>32060000</v>
      </c>
      <c r="J508" s="9">
        <f t="shared" si="22"/>
        <v>283716.81415929203</v>
      </c>
      <c r="K508" s="9">
        <f t="shared" si="23"/>
        <v>4728.6135693215338</v>
      </c>
    </row>
    <row r="509" spans="1:11" x14ac:dyDescent="0.25">
      <c r="A509" t="s">
        <v>1597</v>
      </c>
      <c r="B509">
        <v>1986</v>
      </c>
      <c r="C509" s="8">
        <v>98</v>
      </c>
      <c r="D509" s="8">
        <f t="shared" si="21"/>
        <v>5880</v>
      </c>
      <c r="E509" t="s">
        <v>116</v>
      </c>
      <c r="F509">
        <v>5.4</v>
      </c>
      <c r="G509" t="s">
        <v>1598</v>
      </c>
      <c r="H509" s="11">
        <v>34054</v>
      </c>
      <c r="I509" s="6">
        <v>7430000</v>
      </c>
      <c r="J509" s="9">
        <f t="shared" si="22"/>
        <v>75816.326530612248</v>
      </c>
      <c r="K509" s="9">
        <f t="shared" si="23"/>
        <v>1263.6054421768708</v>
      </c>
    </row>
    <row r="510" spans="1:11" x14ac:dyDescent="0.25">
      <c r="A510" t="s">
        <v>1600</v>
      </c>
      <c r="B510">
        <v>1985</v>
      </c>
      <c r="C510" s="8">
        <v>87</v>
      </c>
      <c r="D510" s="8">
        <f t="shared" si="21"/>
        <v>5220</v>
      </c>
      <c r="E510" t="s">
        <v>30</v>
      </c>
      <c r="F510">
        <v>5.4</v>
      </c>
      <c r="G510" t="s">
        <v>1601</v>
      </c>
      <c r="H510" s="11">
        <v>73312</v>
      </c>
      <c r="I510" s="6">
        <v>30000000</v>
      </c>
      <c r="J510" s="9">
        <f t="shared" si="22"/>
        <v>344827.58620689658</v>
      </c>
      <c r="K510" s="9">
        <f t="shared" si="23"/>
        <v>5747.1264367816093</v>
      </c>
    </row>
    <row r="511" spans="1:11" x14ac:dyDescent="0.25">
      <c r="A511" t="s">
        <v>1603</v>
      </c>
      <c r="B511">
        <v>2014</v>
      </c>
      <c r="C511" s="8">
        <v>104</v>
      </c>
      <c r="D511" s="8">
        <f t="shared" si="21"/>
        <v>6240</v>
      </c>
      <c r="E511" t="s">
        <v>1604</v>
      </c>
      <c r="F511">
        <v>5.4</v>
      </c>
      <c r="G511" t="s">
        <v>1605</v>
      </c>
      <c r="H511" s="11">
        <v>55923</v>
      </c>
      <c r="I511" s="6">
        <v>7790000</v>
      </c>
      <c r="J511" s="9">
        <f t="shared" si="22"/>
        <v>74903.846153846156</v>
      </c>
      <c r="K511" s="9">
        <f t="shared" si="23"/>
        <v>1248.3974358974358</v>
      </c>
    </row>
    <row r="512" spans="1:11" x14ac:dyDescent="0.25">
      <c r="A512" t="s">
        <v>1607</v>
      </c>
      <c r="B512">
        <v>2006</v>
      </c>
      <c r="C512" s="8">
        <v>93</v>
      </c>
      <c r="D512" s="8">
        <f t="shared" si="21"/>
        <v>5580</v>
      </c>
      <c r="E512" t="s">
        <v>14</v>
      </c>
      <c r="F512">
        <v>5.4</v>
      </c>
      <c r="G512" t="s">
        <v>1608</v>
      </c>
      <c r="H512" s="11">
        <v>39687</v>
      </c>
      <c r="I512" s="6">
        <v>7030000</v>
      </c>
      <c r="J512" s="9">
        <f t="shared" si="22"/>
        <v>75591.397849462359</v>
      </c>
      <c r="K512" s="9">
        <f t="shared" si="23"/>
        <v>1259.8566308243728</v>
      </c>
    </row>
    <row r="513" spans="1:11" x14ac:dyDescent="0.25">
      <c r="A513" t="s">
        <v>1610</v>
      </c>
      <c r="B513">
        <v>2005</v>
      </c>
      <c r="C513" s="8">
        <v>110</v>
      </c>
      <c r="D513" s="8">
        <f t="shared" si="21"/>
        <v>6600</v>
      </c>
      <c r="E513" t="s">
        <v>178</v>
      </c>
      <c r="F513">
        <v>5.4</v>
      </c>
      <c r="G513" t="s">
        <v>354</v>
      </c>
      <c r="H513" s="11">
        <v>98602</v>
      </c>
      <c r="I513" s="6">
        <v>76230000</v>
      </c>
      <c r="J513" s="9">
        <f t="shared" si="22"/>
        <v>693000</v>
      </c>
      <c r="K513" s="9">
        <f t="shared" si="23"/>
        <v>11550</v>
      </c>
    </row>
    <row r="514" spans="1:11" x14ac:dyDescent="0.25">
      <c r="A514" t="s">
        <v>1612</v>
      </c>
      <c r="B514">
        <v>2011</v>
      </c>
      <c r="C514" s="8">
        <v>100</v>
      </c>
      <c r="D514" s="8">
        <f t="shared" si="21"/>
        <v>6000</v>
      </c>
      <c r="E514" t="s">
        <v>284</v>
      </c>
      <c r="F514">
        <v>5.4</v>
      </c>
      <c r="G514" t="s">
        <v>1613</v>
      </c>
      <c r="H514" s="11" t="s">
        <v>1614</v>
      </c>
      <c r="I514" s="6">
        <v>37660000</v>
      </c>
      <c r="J514" s="9">
        <f t="shared" si="22"/>
        <v>376600</v>
      </c>
      <c r="K514" s="9">
        <f t="shared" si="23"/>
        <v>6276.666666666667</v>
      </c>
    </row>
    <row r="515" spans="1:11" x14ac:dyDescent="0.25">
      <c r="A515" t="s">
        <v>1616</v>
      </c>
      <c r="B515">
        <v>2018</v>
      </c>
      <c r="C515" s="8">
        <v>99</v>
      </c>
      <c r="D515" s="8">
        <f t="shared" ref="D515:D578" si="24">C515*60</f>
        <v>5940</v>
      </c>
      <c r="E515" t="s">
        <v>28</v>
      </c>
      <c r="F515">
        <v>5.4</v>
      </c>
      <c r="G515" t="s">
        <v>914</v>
      </c>
      <c r="H515" s="11">
        <v>35434</v>
      </c>
      <c r="I515" s="6">
        <v>25090000</v>
      </c>
      <c r="J515" s="9">
        <f t="shared" ref="J515:J578" si="25">I515/C515</f>
        <v>253434.34343434343</v>
      </c>
      <c r="K515" s="9">
        <f t="shared" ref="K515:K578" si="26">I515/D515</f>
        <v>4223.9057239057238</v>
      </c>
    </row>
    <row r="516" spans="1:11" x14ac:dyDescent="0.25">
      <c r="A516" t="s">
        <v>1618</v>
      </c>
      <c r="B516">
        <v>2009</v>
      </c>
      <c r="C516" s="8">
        <v>101</v>
      </c>
      <c r="D516" s="8">
        <f t="shared" si="24"/>
        <v>6060</v>
      </c>
      <c r="E516" t="s">
        <v>14</v>
      </c>
      <c r="F516">
        <v>5.4</v>
      </c>
      <c r="G516" t="s">
        <v>1619</v>
      </c>
      <c r="H516" s="11">
        <v>58571</v>
      </c>
      <c r="I516" s="6">
        <v>51550000</v>
      </c>
      <c r="J516" s="9">
        <f t="shared" si="25"/>
        <v>510396.03960396041</v>
      </c>
      <c r="K516" s="9">
        <f t="shared" si="26"/>
        <v>8506.6006600660057</v>
      </c>
    </row>
    <row r="517" spans="1:11" x14ac:dyDescent="0.25">
      <c r="A517" t="s">
        <v>766</v>
      </c>
      <c r="B517">
        <v>2008</v>
      </c>
      <c r="C517" s="8">
        <v>98</v>
      </c>
      <c r="D517" s="8">
        <f t="shared" si="24"/>
        <v>5880</v>
      </c>
      <c r="E517" t="s">
        <v>178</v>
      </c>
      <c r="F517">
        <v>5.4</v>
      </c>
      <c r="G517" t="s">
        <v>946</v>
      </c>
      <c r="H517" s="11">
        <v>55021</v>
      </c>
      <c r="I517" s="6">
        <v>31420000</v>
      </c>
      <c r="J517" s="9">
        <f t="shared" si="25"/>
        <v>320612.24489795917</v>
      </c>
      <c r="K517" s="9">
        <f t="shared" si="26"/>
        <v>5343.5374149659865</v>
      </c>
    </row>
    <row r="518" spans="1:11" x14ac:dyDescent="0.25">
      <c r="A518" t="s">
        <v>1622</v>
      </c>
      <c r="B518">
        <v>2014</v>
      </c>
      <c r="C518" s="8">
        <v>102</v>
      </c>
      <c r="D518" s="8">
        <f t="shared" si="24"/>
        <v>6120</v>
      </c>
      <c r="E518" t="s">
        <v>44</v>
      </c>
      <c r="F518">
        <v>5.3</v>
      </c>
      <c r="G518" t="s">
        <v>1194</v>
      </c>
      <c r="H518" s="11">
        <v>58591</v>
      </c>
      <c r="I518" s="6">
        <v>1820000</v>
      </c>
      <c r="J518" s="9">
        <f t="shared" si="25"/>
        <v>17843.137254901962</v>
      </c>
      <c r="K518" s="9">
        <f t="shared" si="26"/>
        <v>297.38562091503269</v>
      </c>
    </row>
    <row r="519" spans="1:11" x14ac:dyDescent="0.25">
      <c r="A519" t="s">
        <v>1624</v>
      </c>
      <c r="B519">
        <v>2018</v>
      </c>
      <c r="C519" s="8">
        <v>96</v>
      </c>
      <c r="D519" s="8">
        <f t="shared" si="24"/>
        <v>5760</v>
      </c>
      <c r="E519" t="s">
        <v>14</v>
      </c>
      <c r="F519">
        <v>5.3</v>
      </c>
      <c r="G519" t="s">
        <v>1625</v>
      </c>
      <c r="H519" s="11" t="s">
        <v>1626</v>
      </c>
      <c r="I519" s="6">
        <v>117450000</v>
      </c>
      <c r="J519" s="9">
        <f t="shared" si="25"/>
        <v>1223437.5</v>
      </c>
      <c r="K519" s="9">
        <f t="shared" si="26"/>
        <v>20390.625</v>
      </c>
    </row>
    <row r="520" spans="1:11" x14ac:dyDescent="0.25">
      <c r="A520" t="s">
        <v>1628</v>
      </c>
      <c r="B520">
        <v>2013</v>
      </c>
      <c r="C520" s="8">
        <v>100</v>
      </c>
      <c r="D520" s="8">
        <f t="shared" si="24"/>
        <v>6000</v>
      </c>
      <c r="E520" t="s">
        <v>1273</v>
      </c>
      <c r="F520">
        <v>5.3</v>
      </c>
      <c r="G520" t="s">
        <v>1247</v>
      </c>
      <c r="H520" s="11">
        <v>46716</v>
      </c>
      <c r="I520" s="6">
        <v>7190000</v>
      </c>
      <c r="J520" s="9">
        <f t="shared" si="25"/>
        <v>71900</v>
      </c>
      <c r="K520" s="9">
        <f t="shared" si="26"/>
        <v>1198.3333333333333</v>
      </c>
    </row>
    <row r="521" spans="1:11" x14ac:dyDescent="0.25">
      <c r="A521" t="s">
        <v>1630</v>
      </c>
      <c r="B521">
        <v>2018</v>
      </c>
      <c r="C521" s="8">
        <v>107</v>
      </c>
      <c r="D521" s="8">
        <f t="shared" si="24"/>
        <v>6420</v>
      </c>
      <c r="E521" t="s">
        <v>62</v>
      </c>
      <c r="F521">
        <v>5.3</v>
      </c>
      <c r="G521" t="s">
        <v>1631</v>
      </c>
      <c r="H521" s="11" t="s">
        <v>1632</v>
      </c>
      <c r="I521" s="6">
        <v>51020000</v>
      </c>
      <c r="J521" s="9">
        <f t="shared" si="25"/>
        <v>476822.42990654206</v>
      </c>
      <c r="K521" s="9">
        <f t="shared" si="26"/>
        <v>7947.0404984423676</v>
      </c>
    </row>
    <row r="522" spans="1:11" x14ac:dyDescent="0.25">
      <c r="A522" t="s">
        <v>1634</v>
      </c>
      <c r="B522">
        <v>2001</v>
      </c>
      <c r="C522" s="8">
        <v>83</v>
      </c>
      <c r="D522" s="8">
        <f t="shared" si="24"/>
        <v>4980</v>
      </c>
      <c r="E522" t="s">
        <v>44</v>
      </c>
      <c r="F522">
        <v>5.3</v>
      </c>
      <c r="G522" t="s">
        <v>1635</v>
      </c>
      <c r="H522" s="11" t="s">
        <v>1636</v>
      </c>
      <c r="I522" s="6">
        <v>71310000</v>
      </c>
      <c r="J522" s="9">
        <f t="shared" si="25"/>
        <v>859156.62650602404</v>
      </c>
      <c r="K522" s="9">
        <f t="shared" si="26"/>
        <v>14319.277108433735</v>
      </c>
    </row>
    <row r="523" spans="1:11" x14ac:dyDescent="0.25">
      <c r="A523" t="s">
        <v>1638</v>
      </c>
      <c r="B523">
        <v>2010</v>
      </c>
      <c r="C523" s="8">
        <v>100</v>
      </c>
      <c r="D523" s="8">
        <f t="shared" si="24"/>
        <v>6000</v>
      </c>
      <c r="E523" t="s">
        <v>438</v>
      </c>
      <c r="F523">
        <v>5.3</v>
      </c>
      <c r="G523" t="s">
        <v>999</v>
      </c>
      <c r="H523" s="11" t="s">
        <v>1639</v>
      </c>
      <c r="I523" s="6">
        <v>40170000</v>
      </c>
      <c r="J523" s="9">
        <f t="shared" si="25"/>
        <v>401700</v>
      </c>
      <c r="K523" s="9">
        <f t="shared" si="26"/>
        <v>6695</v>
      </c>
    </row>
    <row r="524" spans="1:11" x14ac:dyDescent="0.25">
      <c r="A524" t="s">
        <v>1641</v>
      </c>
      <c r="B524">
        <v>2020</v>
      </c>
      <c r="C524" s="8">
        <v>94</v>
      </c>
      <c r="D524" s="8">
        <f t="shared" si="24"/>
        <v>5640</v>
      </c>
      <c r="E524" t="s">
        <v>625</v>
      </c>
      <c r="F524">
        <v>5.3</v>
      </c>
      <c r="G524" t="s">
        <v>1642</v>
      </c>
      <c r="H524" s="11">
        <v>84381</v>
      </c>
      <c r="I524" s="6">
        <v>23860000</v>
      </c>
      <c r="J524" s="9">
        <f t="shared" si="25"/>
        <v>253829.78723404257</v>
      </c>
      <c r="K524" s="9">
        <f t="shared" si="26"/>
        <v>4230.4964539007096</v>
      </c>
    </row>
    <row r="525" spans="1:11" x14ac:dyDescent="0.25">
      <c r="A525" t="s">
        <v>1644</v>
      </c>
      <c r="B525">
        <v>2015</v>
      </c>
      <c r="C525" s="8">
        <v>97</v>
      </c>
      <c r="D525" s="8">
        <f t="shared" si="24"/>
        <v>5820</v>
      </c>
      <c r="E525" t="s">
        <v>14</v>
      </c>
      <c r="F525">
        <v>5.3</v>
      </c>
      <c r="G525" t="s">
        <v>1372</v>
      </c>
      <c r="H525" s="11">
        <v>57723</v>
      </c>
      <c r="I525" s="6">
        <v>27740000</v>
      </c>
      <c r="J525" s="9">
        <f t="shared" si="25"/>
        <v>285979.38144329895</v>
      </c>
      <c r="K525" s="9">
        <f t="shared" si="26"/>
        <v>4766.3230240549829</v>
      </c>
    </row>
    <row r="526" spans="1:11" x14ac:dyDescent="0.25">
      <c r="A526" t="s">
        <v>1646</v>
      </c>
      <c r="B526">
        <v>2012</v>
      </c>
      <c r="C526" s="8">
        <v>95</v>
      </c>
      <c r="D526" s="8">
        <f t="shared" si="24"/>
        <v>5700</v>
      </c>
      <c r="E526" t="s">
        <v>325</v>
      </c>
      <c r="F526">
        <v>5.3</v>
      </c>
      <c r="G526" t="s">
        <v>686</v>
      </c>
      <c r="H526" s="11" t="s">
        <v>1647</v>
      </c>
      <c r="I526" s="6">
        <v>42350000</v>
      </c>
      <c r="J526" s="9">
        <f t="shared" si="25"/>
        <v>445789.4736842105</v>
      </c>
      <c r="K526" s="9">
        <f t="shared" si="26"/>
        <v>7429.8245614035086</v>
      </c>
    </row>
    <row r="527" spans="1:11" x14ac:dyDescent="0.25">
      <c r="A527" t="s">
        <v>1649</v>
      </c>
      <c r="B527">
        <v>2004</v>
      </c>
      <c r="C527" s="8">
        <v>93</v>
      </c>
      <c r="D527" s="8">
        <f t="shared" si="24"/>
        <v>5580</v>
      </c>
      <c r="E527" t="s">
        <v>296</v>
      </c>
      <c r="F527">
        <v>5.3</v>
      </c>
      <c r="G527" t="s">
        <v>374</v>
      </c>
      <c r="H527" s="11">
        <v>68040</v>
      </c>
      <c r="I527" s="6">
        <v>59480000</v>
      </c>
      <c r="J527" s="9">
        <f t="shared" si="25"/>
        <v>639569.89247311826</v>
      </c>
      <c r="K527" s="9">
        <f t="shared" si="26"/>
        <v>10659.498207885305</v>
      </c>
    </row>
    <row r="528" spans="1:11" x14ac:dyDescent="0.25">
      <c r="A528" t="s">
        <v>1651</v>
      </c>
      <c r="B528">
        <v>2007</v>
      </c>
      <c r="C528" s="8">
        <v>90</v>
      </c>
      <c r="D528" s="8">
        <f t="shared" si="24"/>
        <v>5400</v>
      </c>
      <c r="E528" t="s">
        <v>42</v>
      </c>
      <c r="F528">
        <v>5.3</v>
      </c>
      <c r="G528" t="s">
        <v>767</v>
      </c>
      <c r="H528" s="11">
        <v>40604</v>
      </c>
      <c r="I528" s="6">
        <v>35370000</v>
      </c>
      <c r="J528" s="9">
        <f t="shared" si="25"/>
        <v>393000</v>
      </c>
      <c r="K528" s="9">
        <f t="shared" si="26"/>
        <v>6550</v>
      </c>
    </row>
    <row r="529" spans="1:11" x14ac:dyDescent="0.25">
      <c r="A529" t="s">
        <v>1653</v>
      </c>
      <c r="B529">
        <v>2005</v>
      </c>
      <c r="C529" s="8">
        <v>105</v>
      </c>
      <c r="D529" s="8">
        <f t="shared" si="24"/>
        <v>6300</v>
      </c>
      <c r="E529" t="s">
        <v>325</v>
      </c>
      <c r="F529">
        <v>5.2</v>
      </c>
      <c r="G529" t="s">
        <v>1654</v>
      </c>
      <c r="H529" s="11" t="s">
        <v>1655</v>
      </c>
      <c r="I529" s="6">
        <v>28210000</v>
      </c>
      <c r="J529" s="9">
        <f t="shared" si="25"/>
        <v>268666.66666666669</v>
      </c>
      <c r="K529" s="9">
        <f t="shared" si="26"/>
        <v>4477.7777777777774</v>
      </c>
    </row>
    <row r="530" spans="1:11" x14ac:dyDescent="0.25">
      <c r="A530" t="s">
        <v>1657</v>
      </c>
      <c r="B530">
        <v>2022</v>
      </c>
      <c r="C530" s="8">
        <v>104</v>
      </c>
      <c r="D530" s="8">
        <f t="shared" si="24"/>
        <v>6240</v>
      </c>
      <c r="E530" t="s">
        <v>62</v>
      </c>
      <c r="F530">
        <v>5.2</v>
      </c>
      <c r="G530" t="s">
        <v>690</v>
      </c>
      <c r="H530" s="11" t="s">
        <v>1658</v>
      </c>
      <c r="I530" s="6">
        <v>73870000</v>
      </c>
      <c r="J530" s="9">
        <f t="shared" si="25"/>
        <v>710288.4615384615</v>
      </c>
      <c r="K530" s="9">
        <f t="shared" si="26"/>
        <v>11838.141025641025</v>
      </c>
    </row>
    <row r="531" spans="1:11" x14ac:dyDescent="0.25">
      <c r="A531" t="s">
        <v>1660</v>
      </c>
      <c r="B531">
        <v>2006</v>
      </c>
      <c r="C531" s="8">
        <v>97</v>
      </c>
      <c r="D531" s="8">
        <f t="shared" si="24"/>
        <v>5820</v>
      </c>
      <c r="E531" t="s">
        <v>451</v>
      </c>
      <c r="F531">
        <v>5.2</v>
      </c>
      <c r="G531" t="s">
        <v>1020</v>
      </c>
      <c r="H531" s="11">
        <v>50834</v>
      </c>
      <c r="I531" s="6">
        <v>23290000</v>
      </c>
      <c r="J531" s="9">
        <f t="shared" si="25"/>
        <v>240103.09278350516</v>
      </c>
      <c r="K531" s="9">
        <f t="shared" si="26"/>
        <v>4001.7182130584192</v>
      </c>
    </row>
    <row r="532" spans="1:11" x14ac:dyDescent="0.25">
      <c r="A532" t="s">
        <v>1662</v>
      </c>
      <c r="B532">
        <v>2021</v>
      </c>
      <c r="C532" s="8">
        <v>107</v>
      </c>
      <c r="D532" s="8">
        <f t="shared" si="24"/>
        <v>6420</v>
      </c>
      <c r="E532" t="s">
        <v>325</v>
      </c>
      <c r="F532">
        <v>5.2</v>
      </c>
      <c r="G532" t="s">
        <v>1480</v>
      </c>
      <c r="H532" s="11">
        <v>58422</v>
      </c>
      <c r="I532" s="6">
        <v>17000000</v>
      </c>
      <c r="J532" s="9">
        <f t="shared" si="25"/>
        <v>158878.50467289719</v>
      </c>
      <c r="K532" s="9">
        <f t="shared" si="26"/>
        <v>2647.9750778816201</v>
      </c>
    </row>
    <row r="533" spans="1:11" x14ac:dyDescent="0.25">
      <c r="A533" t="s">
        <v>574</v>
      </c>
      <c r="B533">
        <v>2019</v>
      </c>
      <c r="C533" s="8">
        <v>120</v>
      </c>
      <c r="D533" s="8">
        <f t="shared" si="24"/>
        <v>7200</v>
      </c>
      <c r="E533" t="s">
        <v>451</v>
      </c>
      <c r="F533">
        <v>5.2</v>
      </c>
      <c r="G533" t="s">
        <v>321</v>
      </c>
      <c r="H533" s="11">
        <v>94121</v>
      </c>
      <c r="I533" s="6">
        <v>21900000</v>
      </c>
      <c r="J533" s="9">
        <f t="shared" si="25"/>
        <v>182500</v>
      </c>
      <c r="K533" s="9">
        <f t="shared" si="26"/>
        <v>3041.6666666666665</v>
      </c>
    </row>
    <row r="534" spans="1:11" x14ac:dyDescent="0.25">
      <c r="A534" t="s">
        <v>846</v>
      </c>
      <c r="B534">
        <v>2017</v>
      </c>
      <c r="C534" s="8">
        <v>109</v>
      </c>
      <c r="D534" s="8">
        <f t="shared" si="24"/>
        <v>6540</v>
      </c>
      <c r="E534" t="s">
        <v>42</v>
      </c>
      <c r="F534">
        <v>5.2</v>
      </c>
      <c r="G534" t="s">
        <v>1664</v>
      </c>
      <c r="H534" s="11">
        <v>49170</v>
      </c>
      <c r="I534" s="6">
        <v>16880000</v>
      </c>
      <c r="J534" s="9">
        <f t="shared" si="25"/>
        <v>154862.38532110091</v>
      </c>
      <c r="K534" s="9">
        <f t="shared" si="26"/>
        <v>2581.0397553516818</v>
      </c>
    </row>
    <row r="535" spans="1:11" x14ac:dyDescent="0.25">
      <c r="A535" t="s">
        <v>1666</v>
      </c>
      <c r="B535">
        <v>2008</v>
      </c>
      <c r="C535" s="8">
        <v>112</v>
      </c>
      <c r="D535" s="8">
        <f t="shared" si="24"/>
        <v>6720</v>
      </c>
      <c r="E535" t="s">
        <v>451</v>
      </c>
      <c r="F535">
        <v>5.2</v>
      </c>
      <c r="G535" t="s">
        <v>1667</v>
      </c>
      <c r="H535" s="11" t="s">
        <v>1668</v>
      </c>
      <c r="I535" s="6">
        <v>102490000</v>
      </c>
      <c r="J535" s="9">
        <f t="shared" si="25"/>
        <v>915089.28571428568</v>
      </c>
      <c r="K535" s="9">
        <f t="shared" si="26"/>
        <v>15251.488095238095</v>
      </c>
    </row>
    <row r="536" spans="1:11" x14ac:dyDescent="0.25">
      <c r="A536" t="s">
        <v>1670</v>
      </c>
      <c r="B536">
        <v>2016</v>
      </c>
      <c r="C536" s="8">
        <v>118</v>
      </c>
      <c r="D536" s="8">
        <f t="shared" si="24"/>
        <v>7080</v>
      </c>
      <c r="E536" t="s">
        <v>625</v>
      </c>
      <c r="F536">
        <v>5.2</v>
      </c>
      <c r="G536" t="s">
        <v>517</v>
      </c>
      <c r="H536" s="11">
        <v>33671</v>
      </c>
      <c r="I536" s="6">
        <v>180000</v>
      </c>
      <c r="J536" s="9">
        <f t="shared" si="25"/>
        <v>1525.4237288135594</v>
      </c>
      <c r="K536" s="9">
        <f t="shared" si="26"/>
        <v>25.423728813559322</v>
      </c>
    </row>
    <row r="537" spans="1:11" x14ac:dyDescent="0.25">
      <c r="A537" t="s">
        <v>1672</v>
      </c>
      <c r="B537">
        <v>1997</v>
      </c>
      <c r="C537" s="8">
        <v>96</v>
      </c>
      <c r="D537" s="8">
        <f t="shared" si="24"/>
        <v>5760</v>
      </c>
      <c r="E537" t="s">
        <v>329</v>
      </c>
      <c r="F537">
        <v>5.2</v>
      </c>
      <c r="G537" t="s">
        <v>1673</v>
      </c>
      <c r="H537" s="11">
        <v>70341</v>
      </c>
      <c r="I537" s="6">
        <v>54970000</v>
      </c>
      <c r="J537" s="9">
        <f t="shared" si="25"/>
        <v>572604.16666666663</v>
      </c>
      <c r="K537" s="9">
        <f t="shared" si="26"/>
        <v>9543.4027777777774</v>
      </c>
    </row>
    <row r="538" spans="1:11" x14ac:dyDescent="0.25">
      <c r="A538" t="s">
        <v>1675</v>
      </c>
      <c r="B538">
        <v>2018</v>
      </c>
      <c r="C538" s="8">
        <v>100</v>
      </c>
      <c r="D538" s="8">
        <f t="shared" si="24"/>
        <v>6000</v>
      </c>
      <c r="E538" t="s">
        <v>72</v>
      </c>
      <c r="F538">
        <v>5.2</v>
      </c>
      <c r="G538" t="s">
        <v>1412</v>
      </c>
      <c r="H538" s="11">
        <v>59199</v>
      </c>
      <c r="I538" s="6">
        <v>41410000</v>
      </c>
      <c r="J538" s="9">
        <f t="shared" si="25"/>
        <v>414100</v>
      </c>
      <c r="K538" s="9">
        <f t="shared" si="26"/>
        <v>6901.666666666667</v>
      </c>
    </row>
    <row r="539" spans="1:11" x14ac:dyDescent="0.25">
      <c r="A539" t="s">
        <v>1677</v>
      </c>
      <c r="B539">
        <v>2019</v>
      </c>
      <c r="C539" s="8">
        <v>93</v>
      </c>
      <c r="D539" s="8">
        <f t="shared" si="24"/>
        <v>5580</v>
      </c>
      <c r="E539" t="s">
        <v>14</v>
      </c>
      <c r="F539">
        <v>5.2</v>
      </c>
      <c r="G539" t="s">
        <v>968</v>
      </c>
      <c r="H539" s="11">
        <v>53361</v>
      </c>
      <c r="I539" s="6">
        <v>54730000</v>
      </c>
      <c r="J539" s="9">
        <f t="shared" si="25"/>
        <v>588494.62365591398</v>
      </c>
      <c r="K539" s="9">
        <f t="shared" si="26"/>
        <v>9808.2437275985667</v>
      </c>
    </row>
    <row r="540" spans="1:11" x14ac:dyDescent="0.25">
      <c r="A540" t="s">
        <v>1679</v>
      </c>
      <c r="B540">
        <v>2002</v>
      </c>
      <c r="C540" s="8">
        <v>101</v>
      </c>
      <c r="D540" s="8">
        <f t="shared" si="24"/>
        <v>6060</v>
      </c>
      <c r="E540" t="s">
        <v>28</v>
      </c>
      <c r="F540">
        <v>5.2</v>
      </c>
      <c r="G540" t="s">
        <v>1680</v>
      </c>
      <c r="H540" s="11">
        <v>57951</v>
      </c>
      <c r="I540" s="6">
        <v>30340000</v>
      </c>
      <c r="J540" s="9">
        <f t="shared" si="25"/>
        <v>300396.03960396041</v>
      </c>
      <c r="K540" s="9">
        <f t="shared" si="26"/>
        <v>5006.6006600660066</v>
      </c>
    </row>
    <row r="541" spans="1:11" x14ac:dyDescent="0.25">
      <c r="A541" t="s">
        <v>1682</v>
      </c>
      <c r="B541">
        <v>2004</v>
      </c>
      <c r="C541" s="8">
        <v>93</v>
      </c>
      <c r="D541" s="8">
        <f t="shared" si="24"/>
        <v>5580</v>
      </c>
      <c r="E541" t="s">
        <v>589</v>
      </c>
      <c r="F541">
        <v>5.2</v>
      </c>
      <c r="G541" t="s">
        <v>1683</v>
      </c>
      <c r="H541" s="11">
        <v>61313</v>
      </c>
      <c r="I541" s="6">
        <v>84220000</v>
      </c>
      <c r="J541" s="9">
        <f t="shared" si="25"/>
        <v>905591.39784946234</v>
      </c>
      <c r="K541" s="9">
        <f t="shared" si="26"/>
        <v>15093.189964157706</v>
      </c>
    </row>
    <row r="542" spans="1:11" x14ac:dyDescent="0.25">
      <c r="A542" t="s">
        <v>213</v>
      </c>
      <c r="B542">
        <v>2010</v>
      </c>
      <c r="C542" s="8">
        <v>95</v>
      </c>
      <c r="D542" s="8">
        <f t="shared" si="24"/>
        <v>5700</v>
      </c>
      <c r="E542" t="s">
        <v>35</v>
      </c>
      <c r="F542">
        <v>5.2</v>
      </c>
      <c r="G542" t="s">
        <v>1685</v>
      </c>
      <c r="H542" s="11" t="s">
        <v>1686</v>
      </c>
      <c r="I542" s="6">
        <v>63080000</v>
      </c>
      <c r="J542" s="9">
        <f t="shared" si="25"/>
        <v>664000</v>
      </c>
      <c r="K542" s="9">
        <f t="shared" si="26"/>
        <v>11066.666666666666</v>
      </c>
    </row>
    <row r="543" spans="1:11" x14ac:dyDescent="0.25">
      <c r="A543" t="s">
        <v>1688</v>
      </c>
      <c r="B543">
        <v>2018</v>
      </c>
      <c r="C543" s="8">
        <v>97</v>
      </c>
      <c r="D543" s="8">
        <f t="shared" si="24"/>
        <v>5820</v>
      </c>
      <c r="E543" t="s">
        <v>325</v>
      </c>
      <c r="F543">
        <v>5.2</v>
      </c>
      <c r="G543" t="s">
        <v>1689</v>
      </c>
      <c r="H543" s="11">
        <v>66568</v>
      </c>
      <c r="I543" s="6">
        <v>69490000</v>
      </c>
      <c r="J543" s="9">
        <f t="shared" si="25"/>
        <v>716391.75257731962</v>
      </c>
      <c r="K543" s="9">
        <f t="shared" si="26"/>
        <v>11939.862542955327</v>
      </c>
    </row>
    <row r="544" spans="1:11" x14ac:dyDescent="0.25">
      <c r="A544" t="s">
        <v>1691</v>
      </c>
      <c r="B544">
        <v>2018</v>
      </c>
      <c r="C544" s="8">
        <v>85</v>
      </c>
      <c r="D544" s="8">
        <f t="shared" si="24"/>
        <v>5100</v>
      </c>
      <c r="E544" t="s">
        <v>30</v>
      </c>
      <c r="F544">
        <v>5.2</v>
      </c>
      <c r="G544" t="s">
        <v>1480</v>
      </c>
      <c r="H544" s="11">
        <v>32686</v>
      </c>
      <c r="I544" s="6">
        <v>24430000</v>
      </c>
      <c r="J544" s="9">
        <f t="shared" si="25"/>
        <v>287411.76470588235</v>
      </c>
      <c r="K544" s="9">
        <f t="shared" si="26"/>
        <v>4790.1960784313724</v>
      </c>
    </row>
    <row r="545" spans="1:11" x14ac:dyDescent="0.25">
      <c r="A545" t="s">
        <v>1693</v>
      </c>
      <c r="B545">
        <v>1988</v>
      </c>
      <c r="C545" s="8">
        <v>88</v>
      </c>
      <c r="D545" s="8">
        <f t="shared" si="24"/>
        <v>5280</v>
      </c>
      <c r="E545" t="s">
        <v>72</v>
      </c>
      <c r="F545">
        <v>5.2</v>
      </c>
      <c r="G545" t="s">
        <v>1694</v>
      </c>
      <c r="H545" s="11">
        <v>39646</v>
      </c>
      <c r="I545" s="6">
        <v>19170000</v>
      </c>
      <c r="J545" s="9">
        <f t="shared" si="25"/>
        <v>217840.90909090909</v>
      </c>
      <c r="K545" s="9">
        <f t="shared" si="26"/>
        <v>3630.681818181818</v>
      </c>
    </row>
    <row r="546" spans="1:11" x14ac:dyDescent="0.25">
      <c r="A546" t="s">
        <v>1696</v>
      </c>
      <c r="B546">
        <v>2008</v>
      </c>
      <c r="C546" s="8">
        <v>85</v>
      </c>
      <c r="D546" s="8">
        <f t="shared" si="24"/>
        <v>5100</v>
      </c>
      <c r="E546" t="s">
        <v>14</v>
      </c>
      <c r="F546">
        <v>5.2</v>
      </c>
      <c r="G546" t="s">
        <v>1697</v>
      </c>
      <c r="H546" s="11">
        <v>36208</v>
      </c>
      <c r="I546" s="6">
        <v>25930000</v>
      </c>
      <c r="J546" s="9">
        <f t="shared" si="25"/>
        <v>305058.82352941175</v>
      </c>
      <c r="K546" s="9">
        <f t="shared" si="26"/>
        <v>5084.3137254901958</v>
      </c>
    </row>
    <row r="547" spans="1:11" x14ac:dyDescent="0.25">
      <c r="A547" t="s">
        <v>1699</v>
      </c>
      <c r="B547">
        <v>2011</v>
      </c>
      <c r="C547" s="8">
        <v>86</v>
      </c>
      <c r="D547" s="8">
        <f t="shared" si="24"/>
        <v>5160</v>
      </c>
      <c r="E547" t="s">
        <v>24</v>
      </c>
      <c r="F547">
        <v>5.2</v>
      </c>
      <c r="G547" t="s">
        <v>1136</v>
      </c>
      <c r="H547" s="11">
        <v>56777</v>
      </c>
      <c r="I547" s="6">
        <v>17690000</v>
      </c>
      <c r="J547" s="9">
        <f t="shared" si="25"/>
        <v>205697.67441860464</v>
      </c>
      <c r="K547" s="9">
        <f t="shared" si="26"/>
        <v>3428.2945736434108</v>
      </c>
    </row>
    <row r="548" spans="1:11" x14ac:dyDescent="0.25">
      <c r="A548" t="s">
        <v>1701</v>
      </c>
      <c r="B548">
        <v>2015</v>
      </c>
      <c r="C548" s="8">
        <v>83</v>
      </c>
      <c r="D548" s="8">
        <f t="shared" si="24"/>
        <v>4980</v>
      </c>
      <c r="E548" t="s">
        <v>24</v>
      </c>
      <c r="F548">
        <v>5.2</v>
      </c>
      <c r="G548" t="s">
        <v>1702</v>
      </c>
      <c r="H548" s="11">
        <v>44970</v>
      </c>
      <c r="I548" s="6">
        <v>25800000</v>
      </c>
      <c r="J548" s="9">
        <f t="shared" si="25"/>
        <v>310843.3734939759</v>
      </c>
      <c r="K548" s="9">
        <f t="shared" si="26"/>
        <v>5180.7228915662654</v>
      </c>
    </row>
    <row r="549" spans="1:11" x14ac:dyDescent="0.25">
      <c r="A549" t="s">
        <v>1704</v>
      </c>
      <c r="B549">
        <v>2012</v>
      </c>
      <c r="C549" s="8">
        <v>101</v>
      </c>
      <c r="D549" s="8">
        <f t="shared" si="24"/>
        <v>6060</v>
      </c>
      <c r="E549" t="s">
        <v>72</v>
      </c>
      <c r="F549">
        <v>5.2</v>
      </c>
      <c r="G549" t="s">
        <v>621</v>
      </c>
      <c r="H549" s="11">
        <v>31229</v>
      </c>
      <c r="I549" s="6">
        <v>1160000</v>
      </c>
      <c r="J549" s="9">
        <f t="shared" si="25"/>
        <v>11485.148514851486</v>
      </c>
      <c r="K549" s="9">
        <f t="shared" si="26"/>
        <v>191.41914191419141</v>
      </c>
    </row>
    <row r="550" spans="1:11" x14ac:dyDescent="0.25">
      <c r="A550" t="s">
        <v>1706</v>
      </c>
      <c r="B550">
        <v>2016</v>
      </c>
      <c r="C550" s="8">
        <v>92</v>
      </c>
      <c r="D550" s="8">
        <f t="shared" si="24"/>
        <v>5520</v>
      </c>
      <c r="E550" t="s">
        <v>14</v>
      </c>
      <c r="F550">
        <v>5.2</v>
      </c>
      <c r="G550" t="s">
        <v>1707</v>
      </c>
      <c r="H550" s="11">
        <v>27158</v>
      </c>
      <c r="I550" s="6">
        <v>3760000</v>
      </c>
      <c r="J550" s="9">
        <f t="shared" si="25"/>
        <v>40869.565217391304</v>
      </c>
      <c r="K550" s="9">
        <f t="shared" si="26"/>
        <v>681.15942028985512</v>
      </c>
    </row>
    <row r="551" spans="1:11" x14ac:dyDescent="0.25">
      <c r="A551" t="s">
        <v>1709</v>
      </c>
      <c r="B551">
        <v>2003</v>
      </c>
      <c r="C551" s="8">
        <v>88</v>
      </c>
      <c r="D551" s="8">
        <f t="shared" si="24"/>
        <v>5280</v>
      </c>
      <c r="E551" t="s">
        <v>492</v>
      </c>
      <c r="F551">
        <v>5.0999999999999996</v>
      </c>
      <c r="G551" t="s">
        <v>1710</v>
      </c>
      <c r="H551" s="11">
        <v>51618</v>
      </c>
      <c r="I551" s="6">
        <v>75850000</v>
      </c>
      <c r="J551" s="9">
        <f t="shared" si="25"/>
        <v>861931.81818181823</v>
      </c>
      <c r="K551" s="9">
        <f t="shared" si="26"/>
        <v>14365.530303030304</v>
      </c>
    </row>
    <row r="552" spans="1:11" x14ac:dyDescent="0.25">
      <c r="A552" t="s">
        <v>1712</v>
      </c>
      <c r="B552">
        <v>2009</v>
      </c>
      <c r="C552" s="8">
        <v>82</v>
      </c>
      <c r="D552" s="8">
        <f t="shared" si="24"/>
        <v>4920</v>
      </c>
      <c r="E552" t="s">
        <v>72</v>
      </c>
      <c r="F552">
        <v>5.0999999999999996</v>
      </c>
      <c r="G552" t="s">
        <v>1073</v>
      </c>
      <c r="H552" s="11" t="s">
        <v>1713</v>
      </c>
      <c r="I552" s="6">
        <v>66480000</v>
      </c>
      <c r="J552" s="9">
        <f t="shared" si="25"/>
        <v>810731.70731707313</v>
      </c>
      <c r="K552" s="9">
        <f t="shared" si="26"/>
        <v>13512.195121951219</v>
      </c>
    </row>
    <row r="553" spans="1:11" x14ac:dyDescent="0.25">
      <c r="A553" t="s">
        <v>1715</v>
      </c>
      <c r="B553">
        <v>2009</v>
      </c>
      <c r="C553" s="8">
        <v>101</v>
      </c>
      <c r="D553" s="8">
        <f t="shared" si="24"/>
        <v>6060</v>
      </c>
      <c r="E553" t="s">
        <v>178</v>
      </c>
      <c r="F553">
        <v>5.0999999999999996</v>
      </c>
      <c r="G553" t="s">
        <v>1716</v>
      </c>
      <c r="H553" s="11">
        <v>31640</v>
      </c>
      <c r="I553" s="6">
        <v>11960000</v>
      </c>
      <c r="J553" s="9">
        <f t="shared" si="25"/>
        <v>118415.84158415842</v>
      </c>
      <c r="K553" s="9">
        <f t="shared" si="26"/>
        <v>1973.5973597359737</v>
      </c>
    </row>
    <row r="554" spans="1:11" x14ac:dyDescent="0.25">
      <c r="A554" t="s">
        <v>1718</v>
      </c>
      <c r="B554">
        <v>2007</v>
      </c>
      <c r="C554" s="8">
        <v>89</v>
      </c>
      <c r="D554" s="8">
        <f t="shared" si="24"/>
        <v>5340</v>
      </c>
      <c r="E554" t="s">
        <v>72</v>
      </c>
      <c r="F554">
        <v>5.0999999999999996</v>
      </c>
      <c r="G554" t="s">
        <v>1719</v>
      </c>
      <c r="H554" s="11">
        <v>65955</v>
      </c>
      <c r="I554" s="6">
        <v>20800000</v>
      </c>
      <c r="J554" s="9">
        <f t="shared" si="25"/>
        <v>233707.86516853931</v>
      </c>
      <c r="K554" s="9">
        <f t="shared" si="26"/>
        <v>3895.1310861423221</v>
      </c>
    </row>
    <row r="555" spans="1:11" x14ac:dyDescent="0.25">
      <c r="A555" t="s">
        <v>1721</v>
      </c>
      <c r="B555">
        <v>2006</v>
      </c>
      <c r="C555" s="8">
        <v>87</v>
      </c>
      <c r="D555" s="8">
        <f t="shared" si="24"/>
        <v>5220</v>
      </c>
      <c r="E555" t="s">
        <v>72</v>
      </c>
      <c r="F555">
        <v>5.0999999999999996</v>
      </c>
      <c r="G555" t="s">
        <v>1722</v>
      </c>
      <c r="H555" s="11">
        <v>47247</v>
      </c>
      <c r="I555" s="6">
        <v>47860000</v>
      </c>
      <c r="J555" s="9">
        <f t="shared" si="25"/>
        <v>550114.94252873561</v>
      </c>
      <c r="K555" s="9">
        <f t="shared" si="26"/>
        <v>9168.5823754789271</v>
      </c>
    </row>
    <row r="556" spans="1:11" x14ac:dyDescent="0.25">
      <c r="A556" t="s">
        <v>1724</v>
      </c>
      <c r="B556">
        <v>2005</v>
      </c>
      <c r="C556" s="8">
        <v>97</v>
      </c>
      <c r="D556" s="8">
        <f t="shared" si="24"/>
        <v>5820</v>
      </c>
      <c r="E556" t="s">
        <v>54</v>
      </c>
      <c r="F556">
        <v>5.0999999999999996</v>
      </c>
      <c r="G556" t="s">
        <v>1725</v>
      </c>
      <c r="H556" s="11">
        <v>40180</v>
      </c>
      <c r="I556" s="6">
        <v>15010000</v>
      </c>
      <c r="J556" s="9">
        <f t="shared" si="25"/>
        <v>154742.26804123711</v>
      </c>
      <c r="K556" s="9">
        <f t="shared" si="26"/>
        <v>2579.0378006872852</v>
      </c>
    </row>
    <row r="557" spans="1:11" x14ac:dyDescent="0.25">
      <c r="A557" t="s">
        <v>1727</v>
      </c>
      <c r="B557">
        <v>1982</v>
      </c>
      <c r="C557" s="8">
        <v>98</v>
      </c>
      <c r="D557" s="8">
        <f t="shared" si="24"/>
        <v>5880</v>
      </c>
      <c r="E557" t="s">
        <v>24</v>
      </c>
      <c r="F557">
        <v>5.0999999999999996</v>
      </c>
      <c r="G557" t="s">
        <v>1728</v>
      </c>
      <c r="H557" s="11">
        <v>57269</v>
      </c>
      <c r="I557" s="6">
        <v>14400000</v>
      </c>
      <c r="J557" s="9">
        <f t="shared" si="25"/>
        <v>146938.77551020408</v>
      </c>
      <c r="K557" s="9">
        <f t="shared" si="26"/>
        <v>2448.9795918367345</v>
      </c>
    </row>
    <row r="558" spans="1:11" x14ac:dyDescent="0.25">
      <c r="A558" t="s">
        <v>1730</v>
      </c>
      <c r="B558">
        <v>2004</v>
      </c>
      <c r="C558" s="8">
        <v>114</v>
      </c>
      <c r="D558" s="8">
        <f t="shared" si="24"/>
        <v>6840</v>
      </c>
      <c r="E558" t="s">
        <v>14</v>
      </c>
      <c r="F558">
        <v>5.0999999999999996</v>
      </c>
      <c r="G558" t="s">
        <v>1020</v>
      </c>
      <c r="H558" s="11">
        <v>37959</v>
      </c>
      <c r="I558" s="6">
        <v>41820000</v>
      </c>
      <c r="J558" s="9">
        <f t="shared" si="25"/>
        <v>366842.10526315792</v>
      </c>
      <c r="K558" s="9">
        <f t="shared" si="26"/>
        <v>6114.0350877192986</v>
      </c>
    </row>
    <row r="559" spans="1:11" x14ac:dyDescent="0.25">
      <c r="A559" t="s">
        <v>1732</v>
      </c>
      <c r="B559">
        <v>1991</v>
      </c>
      <c r="C559" s="8">
        <v>90</v>
      </c>
      <c r="D559" s="8">
        <f t="shared" si="24"/>
        <v>5400</v>
      </c>
      <c r="E559" t="s">
        <v>72</v>
      </c>
      <c r="F559">
        <v>5.0999999999999996</v>
      </c>
      <c r="G559" t="s">
        <v>1733</v>
      </c>
      <c r="H559" s="11">
        <v>43765</v>
      </c>
      <c r="I559" s="6">
        <v>14960000</v>
      </c>
      <c r="J559" s="9">
        <f t="shared" si="25"/>
        <v>166222.22222222222</v>
      </c>
      <c r="K559" s="9">
        <f t="shared" si="26"/>
        <v>2770.3703703703704</v>
      </c>
    </row>
    <row r="560" spans="1:11" x14ac:dyDescent="0.25">
      <c r="A560" t="s">
        <v>1735</v>
      </c>
      <c r="B560">
        <v>1997</v>
      </c>
      <c r="C560" s="8">
        <v>98</v>
      </c>
      <c r="D560" s="8">
        <f t="shared" si="24"/>
        <v>5880</v>
      </c>
      <c r="E560" t="s">
        <v>187</v>
      </c>
      <c r="F560">
        <v>5.0999999999999996</v>
      </c>
      <c r="G560" t="s">
        <v>1736</v>
      </c>
      <c r="H560" s="11">
        <v>26134</v>
      </c>
      <c r="I560" s="6">
        <v>26570000</v>
      </c>
      <c r="J560" s="9">
        <f t="shared" si="25"/>
        <v>271122.44897959183</v>
      </c>
      <c r="K560" s="9">
        <f t="shared" si="26"/>
        <v>4518.7074829931971</v>
      </c>
    </row>
    <row r="561" spans="1:11" x14ac:dyDescent="0.25">
      <c r="A561" t="s">
        <v>1738</v>
      </c>
      <c r="B561">
        <v>2019</v>
      </c>
      <c r="C561" s="8">
        <v>90</v>
      </c>
      <c r="D561" s="8">
        <f t="shared" si="24"/>
        <v>5400</v>
      </c>
      <c r="E561" t="s">
        <v>504</v>
      </c>
      <c r="F561">
        <v>5</v>
      </c>
      <c r="G561" t="s">
        <v>1480</v>
      </c>
      <c r="H561" s="11">
        <v>28859</v>
      </c>
      <c r="I561" s="6">
        <v>22260000</v>
      </c>
      <c r="J561" s="9">
        <f t="shared" si="25"/>
        <v>247333.33333333334</v>
      </c>
      <c r="K561" s="9">
        <f t="shared" si="26"/>
        <v>4122.2222222222226</v>
      </c>
    </row>
    <row r="562" spans="1:11" x14ac:dyDescent="0.25">
      <c r="A562" t="s">
        <v>238</v>
      </c>
      <c r="B562">
        <v>1999</v>
      </c>
      <c r="C562" s="8">
        <v>113</v>
      </c>
      <c r="D562" s="8">
        <f t="shared" si="24"/>
        <v>6780</v>
      </c>
      <c r="E562" t="s">
        <v>284</v>
      </c>
      <c r="F562">
        <v>5</v>
      </c>
      <c r="G562" t="s">
        <v>1740</v>
      </c>
      <c r="H562" s="11">
        <v>78402</v>
      </c>
      <c r="I562" s="6">
        <v>91410000</v>
      </c>
      <c r="J562" s="9">
        <f t="shared" si="25"/>
        <v>808938.05309734517</v>
      </c>
      <c r="K562" s="9">
        <f t="shared" si="26"/>
        <v>13482.300884955752</v>
      </c>
    </row>
    <row r="563" spans="1:11" x14ac:dyDescent="0.25">
      <c r="A563" t="s">
        <v>1742</v>
      </c>
      <c r="B563">
        <v>2013</v>
      </c>
      <c r="C563" s="8">
        <v>86</v>
      </c>
      <c r="D563" s="8">
        <f t="shared" si="24"/>
        <v>5160</v>
      </c>
      <c r="E563" t="s">
        <v>187</v>
      </c>
      <c r="F563">
        <v>5</v>
      </c>
      <c r="G563" t="s">
        <v>1743</v>
      </c>
      <c r="H563" s="11">
        <v>48272</v>
      </c>
      <c r="I563" s="6">
        <v>40040000</v>
      </c>
      <c r="J563" s="9">
        <f t="shared" si="25"/>
        <v>465581.39534883719</v>
      </c>
      <c r="K563" s="9">
        <f t="shared" si="26"/>
        <v>7759.6899224806202</v>
      </c>
    </row>
    <row r="564" spans="1:11" x14ac:dyDescent="0.25">
      <c r="A564" t="s">
        <v>1745</v>
      </c>
      <c r="B564">
        <v>2016</v>
      </c>
      <c r="C564" s="8">
        <v>89</v>
      </c>
      <c r="D564" s="8">
        <f t="shared" si="24"/>
        <v>5340</v>
      </c>
      <c r="E564" t="s">
        <v>14</v>
      </c>
      <c r="F564">
        <v>5</v>
      </c>
      <c r="G564" t="s">
        <v>697</v>
      </c>
      <c r="H564" s="11">
        <v>47890</v>
      </c>
      <c r="I564" s="6">
        <v>20780000</v>
      </c>
      <c r="J564" s="9">
        <f t="shared" si="25"/>
        <v>233483.14606741574</v>
      </c>
      <c r="K564" s="9">
        <f t="shared" si="26"/>
        <v>3891.385767790262</v>
      </c>
    </row>
    <row r="565" spans="1:11" x14ac:dyDescent="0.25">
      <c r="A565" t="s">
        <v>1747</v>
      </c>
      <c r="B565">
        <v>1999</v>
      </c>
      <c r="C565" s="8">
        <v>99</v>
      </c>
      <c r="D565" s="8">
        <f t="shared" si="24"/>
        <v>5940</v>
      </c>
      <c r="E565" t="s">
        <v>325</v>
      </c>
      <c r="F565">
        <v>5</v>
      </c>
      <c r="G565" t="s">
        <v>1748</v>
      </c>
      <c r="H565" s="11">
        <v>29017</v>
      </c>
      <c r="I565" s="6">
        <v>14010000</v>
      </c>
      <c r="J565" s="9">
        <f t="shared" si="25"/>
        <v>141515.15151515152</v>
      </c>
      <c r="K565" s="9">
        <f t="shared" si="26"/>
        <v>2358.5858585858587</v>
      </c>
    </row>
    <row r="566" spans="1:11" x14ac:dyDescent="0.25">
      <c r="A566" t="s">
        <v>1750</v>
      </c>
      <c r="B566">
        <v>2006</v>
      </c>
      <c r="C566" s="8">
        <v>85</v>
      </c>
      <c r="D566" s="8">
        <f t="shared" si="24"/>
        <v>5100</v>
      </c>
      <c r="E566" t="s">
        <v>284</v>
      </c>
      <c r="F566">
        <v>5</v>
      </c>
      <c r="G566" t="s">
        <v>1210</v>
      </c>
      <c r="H566" s="11">
        <v>33235</v>
      </c>
      <c r="I566" s="6">
        <v>23090000</v>
      </c>
      <c r="J566" s="9">
        <f t="shared" si="25"/>
        <v>271647.0588235294</v>
      </c>
      <c r="K566" s="9">
        <f t="shared" si="26"/>
        <v>4527.4509803921565</v>
      </c>
    </row>
    <row r="567" spans="1:11" x14ac:dyDescent="0.25">
      <c r="A567" t="s">
        <v>1752</v>
      </c>
      <c r="B567">
        <v>1989</v>
      </c>
      <c r="C567" s="8">
        <v>89</v>
      </c>
      <c r="D567" s="8">
        <f t="shared" si="24"/>
        <v>5340</v>
      </c>
      <c r="E567" t="s">
        <v>48</v>
      </c>
      <c r="F567">
        <v>5</v>
      </c>
      <c r="G567" t="s">
        <v>989</v>
      </c>
      <c r="H567" s="11">
        <v>48222</v>
      </c>
      <c r="I567" s="6">
        <v>22170000</v>
      </c>
      <c r="J567" s="9">
        <f t="shared" si="25"/>
        <v>249101.1235955056</v>
      </c>
      <c r="K567" s="9">
        <f t="shared" si="26"/>
        <v>4151.6853932584272</v>
      </c>
    </row>
    <row r="568" spans="1:11" x14ac:dyDescent="0.25">
      <c r="A568" t="s">
        <v>1754</v>
      </c>
      <c r="B568">
        <v>2006</v>
      </c>
      <c r="C568" s="8">
        <v>84</v>
      </c>
      <c r="D568" s="8">
        <f t="shared" si="24"/>
        <v>5040</v>
      </c>
      <c r="E568" t="s">
        <v>107</v>
      </c>
      <c r="F568">
        <v>5</v>
      </c>
      <c r="G568" t="s">
        <v>1755</v>
      </c>
      <c r="H568" s="11">
        <v>28075</v>
      </c>
      <c r="I568" s="6">
        <v>15030000</v>
      </c>
      <c r="J568" s="9">
        <f t="shared" si="25"/>
        <v>178928.57142857142</v>
      </c>
      <c r="K568" s="9">
        <f t="shared" si="26"/>
        <v>2982.1428571428573</v>
      </c>
    </row>
    <row r="569" spans="1:11" x14ac:dyDescent="0.25">
      <c r="A569" t="s">
        <v>1757</v>
      </c>
      <c r="B569">
        <v>2012</v>
      </c>
      <c r="C569" s="8">
        <v>86</v>
      </c>
      <c r="D569" s="8">
        <f t="shared" si="24"/>
        <v>5160</v>
      </c>
      <c r="E569" t="s">
        <v>14</v>
      </c>
      <c r="F569">
        <v>5</v>
      </c>
      <c r="G569" t="s">
        <v>1758</v>
      </c>
      <c r="H569" s="11">
        <v>67339</v>
      </c>
      <c r="I569" s="6">
        <v>18120000</v>
      </c>
      <c r="J569" s="9">
        <f t="shared" si="25"/>
        <v>210697.67441860464</v>
      </c>
      <c r="K569" s="9">
        <f t="shared" si="26"/>
        <v>3511.6279069767443</v>
      </c>
    </row>
    <row r="570" spans="1:11" x14ac:dyDescent="0.25">
      <c r="A570" t="s">
        <v>1760</v>
      </c>
      <c r="B570">
        <v>2005</v>
      </c>
      <c r="C570" s="8">
        <v>97</v>
      </c>
      <c r="D570" s="8">
        <f t="shared" si="24"/>
        <v>5820</v>
      </c>
      <c r="E570" t="s">
        <v>44</v>
      </c>
      <c r="F570">
        <v>5</v>
      </c>
      <c r="G570" t="s">
        <v>198</v>
      </c>
      <c r="H570" s="11">
        <v>34024</v>
      </c>
      <c r="I570" s="6">
        <v>19300000</v>
      </c>
      <c r="J570" s="9">
        <f t="shared" si="25"/>
        <v>198969.07216494845</v>
      </c>
      <c r="K570" s="9">
        <f t="shared" si="26"/>
        <v>3316.1512027491408</v>
      </c>
    </row>
    <row r="571" spans="1:11" x14ac:dyDescent="0.25">
      <c r="A571" t="s">
        <v>1762</v>
      </c>
      <c r="B571">
        <v>2014</v>
      </c>
      <c r="C571" s="8">
        <v>84</v>
      </c>
      <c r="D571" s="8">
        <f t="shared" si="24"/>
        <v>5040</v>
      </c>
      <c r="E571" t="s">
        <v>178</v>
      </c>
      <c r="F571">
        <v>5</v>
      </c>
      <c r="G571" t="s">
        <v>728</v>
      </c>
      <c r="H571" s="11">
        <v>44216</v>
      </c>
      <c r="I571" s="6">
        <v>32460000</v>
      </c>
      <c r="J571" s="9">
        <f t="shared" si="25"/>
        <v>386428.57142857142</v>
      </c>
      <c r="K571" s="9">
        <f t="shared" si="26"/>
        <v>6440.4761904761908</v>
      </c>
    </row>
    <row r="572" spans="1:11" x14ac:dyDescent="0.25">
      <c r="A572" t="s">
        <v>1764</v>
      </c>
      <c r="B572">
        <v>2006</v>
      </c>
      <c r="C572" s="8">
        <v>102</v>
      </c>
      <c r="D572" s="8">
        <f t="shared" si="24"/>
        <v>6120</v>
      </c>
      <c r="E572" t="s">
        <v>72</v>
      </c>
      <c r="F572">
        <v>5</v>
      </c>
      <c r="G572" t="s">
        <v>672</v>
      </c>
      <c r="H572" s="11">
        <v>50475</v>
      </c>
      <c r="I572" s="6">
        <v>39140000</v>
      </c>
      <c r="J572" s="9">
        <f t="shared" si="25"/>
        <v>383725.49019607843</v>
      </c>
      <c r="K572" s="9">
        <f t="shared" si="26"/>
        <v>6395.4248366013071</v>
      </c>
    </row>
    <row r="573" spans="1:11" x14ac:dyDescent="0.25">
      <c r="A573" t="s">
        <v>1766</v>
      </c>
      <c r="B573">
        <v>2012</v>
      </c>
      <c r="C573" s="8">
        <v>80</v>
      </c>
      <c r="D573" s="8">
        <f t="shared" si="24"/>
        <v>4800</v>
      </c>
      <c r="E573" t="s">
        <v>72</v>
      </c>
      <c r="F573">
        <v>5</v>
      </c>
      <c r="G573" t="s">
        <v>1088</v>
      </c>
      <c r="H573" s="11">
        <v>36765</v>
      </c>
      <c r="I573" s="6">
        <v>10000</v>
      </c>
      <c r="J573" s="9">
        <f t="shared" si="25"/>
        <v>125</v>
      </c>
      <c r="K573" s="9">
        <f t="shared" si="26"/>
        <v>2.0833333333333335</v>
      </c>
    </row>
    <row r="574" spans="1:11" x14ac:dyDescent="0.25">
      <c r="A574" t="s">
        <v>1767</v>
      </c>
      <c r="B574">
        <v>2005</v>
      </c>
      <c r="C574" s="8">
        <v>83</v>
      </c>
      <c r="D574" s="8">
        <f t="shared" si="24"/>
        <v>4980</v>
      </c>
      <c r="E574" t="s">
        <v>42</v>
      </c>
      <c r="F574">
        <v>5</v>
      </c>
      <c r="G574" t="s">
        <v>1768</v>
      </c>
      <c r="H574" s="11">
        <v>26374</v>
      </c>
      <c r="I574" s="6">
        <v>16300000</v>
      </c>
      <c r="J574" s="9">
        <f t="shared" si="25"/>
        <v>196385.5421686747</v>
      </c>
      <c r="K574" s="9">
        <f t="shared" si="26"/>
        <v>3273.0923694779117</v>
      </c>
    </row>
    <row r="575" spans="1:11" x14ac:dyDescent="0.25">
      <c r="A575" t="s">
        <v>1770</v>
      </c>
      <c r="B575">
        <v>2015</v>
      </c>
      <c r="C575" s="8">
        <v>99</v>
      </c>
      <c r="D575" s="8">
        <f t="shared" si="24"/>
        <v>5940</v>
      </c>
      <c r="E575" t="s">
        <v>35</v>
      </c>
      <c r="F575">
        <v>4.9000000000000004</v>
      </c>
      <c r="G575" t="s">
        <v>1247</v>
      </c>
      <c r="H575" s="11">
        <v>99384</v>
      </c>
      <c r="I575" s="6">
        <v>40000</v>
      </c>
      <c r="J575" s="9">
        <f t="shared" si="25"/>
        <v>404.04040404040404</v>
      </c>
      <c r="K575" s="9">
        <f t="shared" si="26"/>
        <v>6.7340067340067344</v>
      </c>
    </row>
    <row r="576" spans="1:11" x14ac:dyDescent="0.25">
      <c r="A576" t="s">
        <v>1771</v>
      </c>
      <c r="B576">
        <v>2011</v>
      </c>
      <c r="C576" s="8">
        <v>89</v>
      </c>
      <c r="D576" s="8">
        <f t="shared" si="24"/>
        <v>5340</v>
      </c>
      <c r="E576" t="s">
        <v>62</v>
      </c>
      <c r="F576">
        <v>4.9000000000000004</v>
      </c>
      <c r="G576" t="s">
        <v>1772</v>
      </c>
      <c r="H576" s="11">
        <v>62428</v>
      </c>
      <c r="I576" s="6">
        <v>21430000</v>
      </c>
      <c r="J576" s="9">
        <f t="shared" si="25"/>
        <v>240786.51685393258</v>
      </c>
      <c r="K576" s="9">
        <f t="shared" si="26"/>
        <v>4013.1086142322097</v>
      </c>
    </row>
    <row r="577" spans="1:11" x14ac:dyDescent="0.25">
      <c r="A577" t="s">
        <v>1774</v>
      </c>
      <c r="B577">
        <v>2020</v>
      </c>
      <c r="C577" s="8">
        <v>109</v>
      </c>
      <c r="D577" s="8">
        <f t="shared" si="24"/>
        <v>6540</v>
      </c>
      <c r="E577" t="s">
        <v>284</v>
      </c>
      <c r="F577">
        <v>4.9000000000000004</v>
      </c>
      <c r="G577" t="s">
        <v>1412</v>
      </c>
      <c r="H577" s="11">
        <v>55082</v>
      </c>
      <c r="I577" s="6">
        <v>27310000</v>
      </c>
      <c r="J577" s="9">
        <f t="shared" si="25"/>
        <v>250550.45871559632</v>
      </c>
      <c r="K577" s="9">
        <f t="shared" si="26"/>
        <v>4175.8409785932718</v>
      </c>
    </row>
    <row r="578" spans="1:11" x14ac:dyDescent="0.25">
      <c r="A578" t="s">
        <v>1776</v>
      </c>
      <c r="B578">
        <v>2000</v>
      </c>
      <c r="C578" s="8">
        <v>99</v>
      </c>
      <c r="D578" s="8">
        <f t="shared" si="24"/>
        <v>5940</v>
      </c>
      <c r="E578" t="s">
        <v>438</v>
      </c>
      <c r="F578">
        <v>4.9000000000000004</v>
      </c>
      <c r="G578" t="s">
        <v>1619</v>
      </c>
      <c r="H578" s="11">
        <v>35130</v>
      </c>
      <c r="I578" s="6">
        <v>33020000</v>
      </c>
      <c r="J578" s="9">
        <f t="shared" si="25"/>
        <v>333535.35353535356</v>
      </c>
      <c r="K578" s="9">
        <f t="shared" si="26"/>
        <v>5558.9225589225589</v>
      </c>
    </row>
    <row r="579" spans="1:11" x14ac:dyDescent="0.25">
      <c r="A579" t="s">
        <v>1778</v>
      </c>
      <c r="B579">
        <v>2012</v>
      </c>
      <c r="C579" s="8">
        <v>95</v>
      </c>
      <c r="D579" s="8">
        <f t="shared" ref="D579:D638" si="27">C579*60</f>
        <v>5700</v>
      </c>
      <c r="E579" t="s">
        <v>14</v>
      </c>
      <c r="F579">
        <v>4.9000000000000004</v>
      </c>
      <c r="G579" t="s">
        <v>1198</v>
      </c>
      <c r="H579" s="11">
        <v>65270</v>
      </c>
      <c r="I579" s="6">
        <v>17530000</v>
      </c>
      <c r="J579" s="9">
        <f t="shared" ref="J579:J638" si="28">I579/C579</f>
        <v>184526.31578947368</v>
      </c>
      <c r="K579" s="9">
        <f t="shared" ref="K579:K638" si="29">I579/D579</f>
        <v>3075.4385964912281</v>
      </c>
    </row>
    <row r="580" spans="1:11" x14ac:dyDescent="0.25">
      <c r="A580" t="s">
        <v>1780</v>
      </c>
      <c r="B580">
        <v>2004</v>
      </c>
      <c r="C580" s="8">
        <v>87</v>
      </c>
      <c r="D580" s="8">
        <f t="shared" si="27"/>
        <v>5220</v>
      </c>
      <c r="E580" t="s">
        <v>308</v>
      </c>
      <c r="F580">
        <v>4.9000000000000004</v>
      </c>
      <c r="G580" t="s">
        <v>1517</v>
      </c>
      <c r="H580" s="11">
        <v>47581</v>
      </c>
      <c r="I580" s="6">
        <v>17080000</v>
      </c>
      <c r="J580" s="9">
        <f t="shared" si="28"/>
        <v>196321.83908045976</v>
      </c>
      <c r="K580" s="9">
        <f t="shared" si="29"/>
        <v>3272.030651340996</v>
      </c>
    </row>
    <row r="581" spans="1:11" x14ac:dyDescent="0.25">
      <c r="A581" t="s">
        <v>1782</v>
      </c>
      <c r="B581">
        <v>2001</v>
      </c>
      <c r="C581" s="8">
        <v>98</v>
      </c>
      <c r="D581" s="8">
        <f t="shared" si="27"/>
        <v>5880</v>
      </c>
      <c r="E581" t="s">
        <v>325</v>
      </c>
      <c r="F581">
        <v>4.9000000000000004</v>
      </c>
      <c r="G581" t="s">
        <v>25</v>
      </c>
      <c r="H581" s="11">
        <v>56213</v>
      </c>
      <c r="I581" s="6">
        <v>8430000</v>
      </c>
      <c r="J581" s="9">
        <f t="shared" si="28"/>
        <v>86020.408163265311</v>
      </c>
      <c r="K581" s="9">
        <f t="shared" si="29"/>
        <v>1433.6734693877552</v>
      </c>
    </row>
    <row r="582" spans="1:11" x14ac:dyDescent="0.25">
      <c r="A582" t="s">
        <v>268</v>
      </c>
      <c r="B582">
        <v>2015</v>
      </c>
      <c r="C582" s="8">
        <v>93</v>
      </c>
      <c r="D582" s="8">
        <f t="shared" si="27"/>
        <v>5580</v>
      </c>
      <c r="E582" t="s">
        <v>72</v>
      </c>
      <c r="F582">
        <v>4.9000000000000004</v>
      </c>
      <c r="G582" t="s">
        <v>1784</v>
      </c>
      <c r="H582" s="11">
        <v>59621</v>
      </c>
      <c r="I582" s="6">
        <v>47430000</v>
      </c>
      <c r="J582" s="9">
        <f t="shared" si="28"/>
        <v>510000</v>
      </c>
      <c r="K582" s="9">
        <f t="shared" si="29"/>
        <v>8500</v>
      </c>
    </row>
    <row r="583" spans="1:11" x14ac:dyDescent="0.25">
      <c r="A583" t="s">
        <v>1786</v>
      </c>
      <c r="B583">
        <v>2003</v>
      </c>
      <c r="C583" s="8">
        <v>86</v>
      </c>
      <c r="D583" s="8">
        <f t="shared" si="27"/>
        <v>5160</v>
      </c>
      <c r="E583" t="s">
        <v>284</v>
      </c>
      <c r="F583">
        <v>4.9000000000000004</v>
      </c>
      <c r="G583" t="s">
        <v>1365</v>
      </c>
      <c r="H583" s="11">
        <v>32613</v>
      </c>
      <c r="I583" s="6">
        <v>32550000</v>
      </c>
      <c r="J583" s="9">
        <f t="shared" si="28"/>
        <v>378488.37209302327</v>
      </c>
      <c r="K583" s="9">
        <f t="shared" si="29"/>
        <v>6308.1395348837214</v>
      </c>
    </row>
    <row r="584" spans="1:11" x14ac:dyDescent="0.25">
      <c r="A584" t="s">
        <v>1788</v>
      </c>
      <c r="B584">
        <v>2001</v>
      </c>
      <c r="C584" s="8">
        <v>96</v>
      </c>
      <c r="D584" s="8">
        <f t="shared" si="27"/>
        <v>5760</v>
      </c>
      <c r="E584" t="s">
        <v>14</v>
      </c>
      <c r="F584">
        <v>4.9000000000000004</v>
      </c>
      <c r="G584" t="s">
        <v>1472</v>
      </c>
      <c r="H584" s="11">
        <v>29306</v>
      </c>
      <c r="I584" s="6">
        <v>20380000</v>
      </c>
      <c r="J584" s="9">
        <f t="shared" si="28"/>
        <v>212291.66666666666</v>
      </c>
      <c r="K584" s="9">
        <f t="shared" si="29"/>
        <v>3538.1944444444443</v>
      </c>
    </row>
    <row r="585" spans="1:11" x14ac:dyDescent="0.25">
      <c r="A585" t="s">
        <v>1790</v>
      </c>
      <c r="B585">
        <v>1989</v>
      </c>
      <c r="C585" s="8">
        <v>96</v>
      </c>
      <c r="D585" s="8">
        <f t="shared" si="27"/>
        <v>5760</v>
      </c>
      <c r="E585" t="s">
        <v>72</v>
      </c>
      <c r="F585">
        <v>4.9000000000000004</v>
      </c>
      <c r="G585" t="s">
        <v>1791</v>
      </c>
      <c r="H585" s="11">
        <v>44618</v>
      </c>
      <c r="I585" s="6">
        <v>11640000</v>
      </c>
      <c r="J585" s="9">
        <f t="shared" si="28"/>
        <v>121250</v>
      </c>
      <c r="K585" s="9">
        <f t="shared" si="29"/>
        <v>2020.8333333333333</v>
      </c>
    </row>
    <row r="586" spans="1:11" x14ac:dyDescent="0.25">
      <c r="A586" t="s">
        <v>1793</v>
      </c>
      <c r="B586">
        <v>2010</v>
      </c>
      <c r="C586" s="8">
        <v>92</v>
      </c>
      <c r="D586" s="8">
        <f t="shared" si="27"/>
        <v>5520</v>
      </c>
      <c r="E586" t="s">
        <v>14</v>
      </c>
      <c r="F586">
        <v>4.9000000000000004</v>
      </c>
      <c r="G586" t="s">
        <v>603</v>
      </c>
      <c r="H586" s="11">
        <v>26800</v>
      </c>
      <c r="I586" s="6">
        <v>20000</v>
      </c>
      <c r="J586" s="9">
        <f t="shared" si="28"/>
        <v>217.39130434782609</v>
      </c>
      <c r="K586" s="9">
        <f t="shared" si="29"/>
        <v>3.6231884057971016</v>
      </c>
    </row>
    <row r="587" spans="1:11" x14ac:dyDescent="0.25">
      <c r="A587" t="s">
        <v>1794</v>
      </c>
      <c r="B587">
        <v>1997</v>
      </c>
      <c r="C587" s="8">
        <v>89</v>
      </c>
      <c r="D587" s="8">
        <f t="shared" si="27"/>
        <v>5340</v>
      </c>
      <c r="E587" t="s">
        <v>62</v>
      </c>
      <c r="F587">
        <v>4.8</v>
      </c>
      <c r="G587" t="s">
        <v>1795</v>
      </c>
      <c r="H587" s="11" t="s">
        <v>1796</v>
      </c>
      <c r="I587" s="6">
        <v>65890000</v>
      </c>
      <c r="J587" s="9">
        <f t="shared" si="28"/>
        <v>740337.07865168538</v>
      </c>
      <c r="K587" s="9">
        <f t="shared" si="29"/>
        <v>12338.951310861423</v>
      </c>
    </row>
    <row r="588" spans="1:11" x14ac:dyDescent="0.25">
      <c r="A588" t="s">
        <v>1798</v>
      </c>
      <c r="B588">
        <v>2013</v>
      </c>
      <c r="C588" s="8">
        <v>92</v>
      </c>
      <c r="D588" s="8">
        <f t="shared" si="27"/>
        <v>5520</v>
      </c>
      <c r="E588" t="s">
        <v>72</v>
      </c>
      <c r="F588">
        <v>4.8</v>
      </c>
      <c r="G588" t="s">
        <v>1799</v>
      </c>
      <c r="H588" s="11">
        <v>53682</v>
      </c>
      <c r="I588" s="6">
        <v>34340000</v>
      </c>
      <c r="J588" s="9">
        <f t="shared" si="28"/>
        <v>373260.86956521741</v>
      </c>
      <c r="K588" s="9">
        <f t="shared" si="29"/>
        <v>6221.014492753623</v>
      </c>
    </row>
    <row r="589" spans="1:11" x14ac:dyDescent="0.25">
      <c r="A589" t="s">
        <v>1801</v>
      </c>
      <c r="B589">
        <v>2016</v>
      </c>
      <c r="C589" s="8">
        <v>93</v>
      </c>
      <c r="D589" s="8">
        <f t="shared" si="27"/>
        <v>5580</v>
      </c>
      <c r="E589" t="s">
        <v>14</v>
      </c>
      <c r="F589">
        <v>4.8</v>
      </c>
      <c r="G589" t="s">
        <v>1802</v>
      </c>
      <c r="H589" s="11">
        <v>44543</v>
      </c>
      <c r="I589" s="6">
        <v>26580000</v>
      </c>
      <c r="J589" s="9">
        <f t="shared" si="28"/>
        <v>285806.45161290321</v>
      </c>
      <c r="K589" s="9">
        <f t="shared" si="29"/>
        <v>4763.4408602150534</v>
      </c>
    </row>
    <row r="590" spans="1:11" x14ac:dyDescent="0.25">
      <c r="A590" t="s">
        <v>1804</v>
      </c>
      <c r="B590">
        <v>1993</v>
      </c>
      <c r="C590" s="8">
        <v>92</v>
      </c>
      <c r="D590" s="8">
        <f t="shared" si="27"/>
        <v>5520</v>
      </c>
      <c r="E590" t="s">
        <v>187</v>
      </c>
      <c r="F590">
        <v>4.8</v>
      </c>
      <c r="G590" t="s">
        <v>1805</v>
      </c>
      <c r="H590" s="11">
        <v>28663</v>
      </c>
      <c r="I590" s="6">
        <v>8560000</v>
      </c>
      <c r="J590" s="9">
        <f t="shared" si="28"/>
        <v>93043.478260869568</v>
      </c>
      <c r="K590" s="9">
        <f t="shared" si="29"/>
        <v>1550.7246376811595</v>
      </c>
    </row>
    <row r="591" spans="1:11" x14ac:dyDescent="0.25">
      <c r="A591" t="s">
        <v>1807</v>
      </c>
      <c r="B591">
        <v>2011</v>
      </c>
      <c r="C591" s="8">
        <v>91</v>
      </c>
      <c r="D591" s="8">
        <f t="shared" si="27"/>
        <v>5460</v>
      </c>
      <c r="E591" t="s">
        <v>39</v>
      </c>
      <c r="F591">
        <v>4.8</v>
      </c>
      <c r="G591" t="s">
        <v>1808</v>
      </c>
      <c r="H591" s="11">
        <v>40236</v>
      </c>
      <c r="I591" s="6">
        <v>37300000</v>
      </c>
      <c r="J591" s="9">
        <f t="shared" si="28"/>
        <v>409890.10989010992</v>
      </c>
      <c r="K591" s="9">
        <f t="shared" si="29"/>
        <v>6831.5018315018315</v>
      </c>
    </row>
    <row r="592" spans="1:11" x14ac:dyDescent="0.25">
      <c r="A592" t="s">
        <v>843</v>
      </c>
      <c r="B592">
        <v>2009</v>
      </c>
      <c r="C592" s="8">
        <v>105</v>
      </c>
      <c r="D592" s="8">
        <f t="shared" si="27"/>
        <v>6300</v>
      </c>
      <c r="E592" t="s">
        <v>30</v>
      </c>
      <c r="F592">
        <v>4.8</v>
      </c>
      <c r="G592" t="s">
        <v>621</v>
      </c>
      <c r="H592" s="11">
        <v>57387</v>
      </c>
      <c r="I592" s="6">
        <v>33390000</v>
      </c>
      <c r="J592" s="9">
        <f t="shared" si="28"/>
        <v>318000</v>
      </c>
      <c r="K592" s="9">
        <f t="shared" si="29"/>
        <v>5300</v>
      </c>
    </row>
    <row r="593" spans="1:11" x14ac:dyDescent="0.25">
      <c r="A593" t="s">
        <v>1811</v>
      </c>
      <c r="B593">
        <v>2016</v>
      </c>
      <c r="C593" s="8">
        <v>94</v>
      </c>
      <c r="D593" s="8">
        <f t="shared" si="27"/>
        <v>5640</v>
      </c>
      <c r="E593" t="s">
        <v>44</v>
      </c>
      <c r="F593">
        <v>4.8</v>
      </c>
      <c r="G593" t="s">
        <v>1812</v>
      </c>
      <c r="H593" s="11">
        <v>37146</v>
      </c>
      <c r="I593" s="6">
        <v>9090000</v>
      </c>
      <c r="J593" s="9">
        <f t="shared" si="28"/>
        <v>96702.127659574471</v>
      </c>
      <c r="K593" s="9">
        <f t="shared" si="29"/>
        <v>1611.7021276595744</v>
      </c>
    </row>
    <row r="594" spans="1:11" x14ac:dyDescent="0.25">
      <c r="A594" t="s">
        <v>1814</v>
      </c>
      <c r="B594">
        <v>2014</v>
      </c>
      <c r="C594" s="8">
        <v>98</v>
      </c>
      <c r="D594" s="8">
        <f t="shared" si="27"/>
        <v>5880</v>
      </c>
      <c r="E594" t="s">
        <v>39</v>
      </c>
      <c r="F594">
        <v>4.8</v>
      </c>
      <c r="G594" t="s">
        <v>1815</v>
      </c>
      <c r="H594" s="11">
        <v>28992</v>
      </c>
      <c r="I594" s="6">
        <v>26500000</v>
      </c>
      <c r="J594" s="9">
        <f t="shared" si="28"/>
        <v>270408.1632653061</v>
      </c>
      <c r="K594" s="9">
        <f t="shared" si="29"/>
        <v>4506.8027210884356</v>
      </c>
    </row>
    <row r="595" spans="1:11" x14ac:dyDescent="0.25">
      <c r="A595" t="s">
        <v>1817</v>
      </c>
      <c r="B595">
        <v>2004</v>
      </c>
      <c r="C595" s="8">
        <v>102</v>
      </c>
      <c r="D595" s="8">
        <f t="shared" si="27"/>
        <v>6120</v>
      </c>
      <c r="E595" t="s">
        <v>1068</v>
      </c>
      <c r="F595">
        <v>4.8</v>
      </c>
      <c r="G595" t="s">
        <v>1818</v>
      </c>
      <c r="H595" s="11">
        <v>26088</v>
      </c>
      <c r="I595" s="6">
        <v>14380000</v>
      </c>
      <c r="J595" s="9">
        <f t="shared" si="28"/>
        <v>140980.39215686274</v>
      </c>
      <c r="K595" s="9">
        <f t="shared" si="29"/>
        <v>2349.6732026143791</v>
      </c>
    </row>
    <row r="596" spans="1:11" x14ac:dyDescent="0.25">
      <c r="A596" t="s">
        <v>1820</v>
      </c>
      <c r="B596">
        <v>2009</v>
      </c>
      <c r="C596" s="8">
        <v>88</v>
      </c>
      <c r="D596" s="8">
        <f t="shared" si="27"/>
        <v>5280</v>
      </c>
      <c r="E596" t="s">
        <v>14</v>
      </c>
      <c r="F596">
        <v>4.7</v>
      </c>
      <c r="G596" t="s">
        <v>1348</v>
      </c>
      <c r="H596" s="11">
        <v>52574</v>
      </c>
      <c r="I596" s="6">
        <v>42670000</v>
      </c>
      <c r="J596" s="9">
        <f t="shared" si="28"/>
        <v>484886.36363636365</v>
      </c>
      <c r="K596" s="9">
        <f t="shared" si="29"/>
        <v>8081.439393939394</v>
      </c>
    </row>
    <row r="597" spans="1:11" x14ac:dyDescent="0.25">
      <c r="A597" t="s">
        <v>1822</v>
      </c>
      <c r="B597">
        <v>1985</v>
      </c>
      <c r="C597" s="8">
        <v>92</v>
      </c>
      <c r="D597" s="8">
        <f t="shared" si="27"/>
        <v>5520</v>
      </c>
      <c r="E597" t="s">
        <v>14</v>
      </c>
      <c r="F597">
        <v>4.7</v>
      </c>
      <c r="G597" t="s">
        <v>1823</v>
      </c>
      <c r="H597" s="11">
        <v>41029</v>
      </c>
      <c r="I597" s="6">
        <v>21930000</v>
      </c>
      <c r="J597" s="9">
        <f t="shared" si="28"/>
        <v>238369.5652173913</v>
      </c>
      <c r="K597" s="9">
        <f t="shared" si="29"/>
        <v>3972.8260869565215</v>
      </c>
    </row>
    <row r="598" spans="1:11" x14ac:dyDescent="0.25">
      <c r="A598" t="s">
        <v>1825</v>
      </c>
      <c r="B598">
        <v>1998</v>
      </c>
      <c r="C598" s="8">
        <v>100</v>
      </c>
      <c r="D598" s="8">
        <f t="shared" si="27"/>
        <v>6000</v>
      </c>
      <c r="E598" t="s">
        <v>14</v>
      </c>
      <c r="F598">
        <v>4.7</v>
      </c>
      <c r="G598" t="s">
        <v>1826</v>
      </c>
      <c r="H598" s="11">
        <v>76322</v>
      </c>
      <c r="I598" s="6">
        <v>40000000</v>
      </c>
      <c r="J598" s="9">
        <f t="shared" si="28"/>
        <v>400000</v>
      </c>
      <c r="K598" s="9">
        <f t="shared" si="29"/>
        <v>6666.666666666667</v>
      </c>
    </row>
    <row r="599" spans="1:11" x14ac:dyDescent="0.25">
      <c r="A599" t="s">
        <v>1828</v>
      </c>
      <c r="B599">
        <v>2004</v>
      </c>
      <c r="C599" s="8">
        <v>97</v>
      </c>
      <c r="D599" s="8">
        <f t="shared" si="27"/>
        <v>5820</v>
      </c>
      <c r="E599" t="s">
        <v>62</v>
      </c>
      <c r="F599">
        <v>4.7</v>
      </c>
      <c r="G599" t="s">
        <v>1400</v>
      </c>
      <c r="H599" s="11">
        <v>32734</v>
      </c>
      <c r="I599" s="6">
        <v>32240000</v>
      </c>
      <c r="J599" s="9">
        <f t="shared" si="28"/>
        <v>332371.13402061857</v>
      </c>
      <c r="K599" s="9">
        <f t="shared" si="29"/>
        <v>5539.5189003436426</v>
      </c>
    </row>
    <row r="600" spans="1:11" x14ac:dyDescent="0.25">
      <c r="A600" t="s">
        <v>1830</v>
      </c>
      <c r="B600">
        <v>1995</v>
      </c>
      <c r="C600" s="8">
        <v>87</v>
      </c>
      <c r="D600" s="8">
        <f t="shared" si="27"/>
        <v>5220</v>
      </c>
      <c r="E600" t="s">
        <v>72</v>
      </c>
      <c r="F600">
        <v>4.7</v>
      </c>
      <c r="G600" t="s">
        <v>1831</v>
      </c>
      <c r="H600" s="11">
        <v>39712</v>
      </c>
      <c r="I600" s="6">
        <v>15120000</v>
      </c>
      <c r="J600" s="9">
        <f t="shared" si="28"/>
        <v>173793.10344827586</v>
      </c>
      <c r="K600" s="9">
        <f t="shared" si="29"/>
        <v>2896.5517241379312</v>
      </c>
    </row>
    <row r="601" spans="1:11" x14ac:dyDescent="0.25">
      <c r="A601" t="s">
        <v>1833</v>
      </c>
      <c r="B601">
        <v>1991</v>
      </c>
      <c r="C601" s="8">
        <v>89</v>
      </c>
      <c r="D601" s="8">
        <f t="shared" si="27"/>
        <v>5340</v>
      </c>
      <c r="E601" t="s">
        <v>48</v>
      </c>
      <c r="F601">
        <v>4.7</v>
      </c>
      <c r="G601" t="s">
        <v>1834</v>
      </c>
      <c r="H601" s="11">
        <v>48694</v>
      </c>
      <c r="I601" s="6">
        <v>34870000</v>
      </c>
      <c r="J601" s="9">
        <f t="shared" si="28"/>
        <v>391797.75280898879</v>
      </c>
      <c r="K601" s="9">
        <f t="shared" si="29"/>
        <v>6529.9625468164795</v>
      </c>
    </row>
    <row r="602" spans="1:11" x14ac:dyDescent="0.25">
      <c r="A602" t="s">
        <v>1836</v>
      </c>
      <c r="B602">
        <v>2006</v>
      </c>
      <c r="C602" s="8">
        <v>90</v>
      </c>
      <c r="D602" s="8">
        <f t="shared" si="27"/>
        <v>5400</v>
      </c>
      <c r="E602" t="s">
        <v>344</v>
      </c>
      <c r="F602">
        <v>4.7</v>
      </c>
      <c r="G602" t="s">
        <v>1837</v>
      </c>
      <c r="H602" s="11">
        <v>30021</v>
      </c>
      <c r="I602" s="6">
        <v>20260000</v>
      </c>
      <c r="J602" s="9">
        <f t="shared" si="28"/>
        <v>225111.11111111112</v>
      </c>
      <c r="K602" s="9">
        <f t="shared" si="29"/>
        <v>3751.8518518518517</v>
      </c>
    </row>
    <row r="603" spans="1:11" x14ac:dyDescent="0.25">
      <c r="A603" t="s">
        <v>1839</v>
      </c>
      <c r="B603">
        <v>2007</v>
      </c>
      <c r="C603" s="8">
        <v>94</v>
      </c>
      <c r="D603" s="8">
        <f t="shared" si="27"/>
        <v>5640</v>
      </c>
      <c r="E603" t="s">
        <v>62</v>
      </c>
      <c r="F603">
        <v>4.5999999999999996</v>
      </c>
      <c r="G603" t="s">
        <v>1840</v>
      </c>
      <c r="H603" s="11" t="s">
        <v>1841</v>
      </c>
      <c r="I603" s="6">
        <v>41800000</v>
      </c>
      <c r="J603" s="9">
        <f t="shared" si="28"/>
        <v>444680.85106382979</v>
      </c>
      <c r="K603" s="9">
        <f t="shared" si="29"/>
        <v>7411.3475177304963</v>
      </c>
    </row>
    <row r="604" spans="1:11" x14ac:dyDescent="0.25">
      <c r="A604" t="s">
        <v>13</v>
      </c>
      <c r="B604">
        <v>1998</v>
      </c>
      <c r="C604" s="8">
        <v>105</v>
      </c>
      <c r="D604" s="8">
        <f t="shared" si="27"/>
        <v>6300</v>
      </c>
      <c r="E604" t="s">
        <v>14</v>
      </c>
      <c r="F604">
        <v>4.5999999999999996</v>
      </c>
      <c r="G604" t="s">
        <v>1843</v>
      </c>
      <c r="H604" s="11">
        <v>49550</v>
      </c>
      <c r="I604" s="6">
        <v>21460000</v>
      </c>
      <c r="J604" s="9">
        <f t="shared" si="28"/>
        <v>204380.95238095237</v>
      </c>
      <c r="K604" s="9">
        <f t="shared" si="29"/>
        <v>3406.3492063492063</v>
      </c>
    </row>
    <row r="605" spans="1:11" x14ac:dyDescent="0.25">
      <c r="A605" t="s">
        <v>1845</v>
      </c>
      <c r="B605">
        <v>2012</v>
      </c>
      <c r="C605" s="8">
        <v>88</v>
      </c>
      <c r="D605" s="8">
        <f t="shared" si="27"/>
        <v>5280</v>
      </c>
      <c r="E605" t="s">
        <v>178</v>
      </c>
      <c r="F605">
        <v>4.5999999999999996</v>
      </c>
      <c r="G605" t="s">
        <v>1409</v>
      </c>
      <c r="H605" s="11">
        <v>68431</v>
      </c>
      <c r="I605" s="6">
        <v>53920000</v>
      </c>
      <c r="J605" s="9">
        <f t="shared" si="28"/>
        <v>612727.27272727271</v>
      </c>
      <c r="K605" s="9">
        <f t="shared" si="29"/>
        <v>10212.121212121212</v>
      </c>
    </row>
    <row r="606" spans="1:11" x14ac:dyDescent="0.25">
      <c r="A606" t="s">
        <v>1847</v>
      </c>
      <c r="B606">
        <v>2014</v>
      </c>
      <c r="C606" s="8">
        <v>89</v>
      </c>
      <c r="D606" s="8">
        <f t="shared" si="27"/>
        <v>5340</v>
      </c>
      <c r="E606" t="s">
        <v>14</v>
      </c>
      <c r="F606">
        <v>4.5999999999999996</v>
      </c>
      <c r="G606" t="s">
        <v>1848</v>
      </c>
      <c r="H606" s="11">
        <v>25483</v>
      </c>
      <c r="I606" s="6">
        <v>2760000</v>
      </c>
      <c r="J606" s="9">
        <f t="shared" si="28"/>
        <v>31011.235955056181</v>
      </c>
      <c r="K606" s="9">
        <f t="shared" si="29"/>
        <v>516.85393258426961</v>
      </c>
    </row>
    <row r="607" spans="1:11" x14ac:dyDescent="0.25">
      <c r="A607" t="s">
        <v>412</v>
      </c>
      <c r="B607">
        <v>2006</v>
      </c>
      <c r="C607" s="8">
        <v>95</v>
      </c>
      <c r="D607" s="8">
        <f t="shared" si="27"/>
        <v>5700</v>
      </c>
      <c r="E607" t="s">
        <v>30</v>
      </c>
      <c r="F607">
        <v>4.5999999999999996</v>
      </c>
      <c r="G607" t="s">
        <v>1850</v>
      </c>
      <c r="H607" s="11">
        <v>28952</v>
      </c>
      <c r="I607" s="6">
        <v>16240000</v>
      </c>
      <c r="J607" s="9">
        <f t="shared" si="28"/>
        <v>170947.36842105264</v>
      </c>
      <c r="K607" s="9">
        <f t="shared" si="29"/>
        <v>2849.1228070175439</v>
      </c>
    </row>
    <row r="608" spans="1:11" x14ac:dyDescent="0.25">
      <c r="A608" t="s">
        <v>1852</v>
      </c>
      <c r="B608">
        <v>2015</v>
      </c>
      <c r="C608" s="8">
        <v>88</v>
      </c>
      <c r="D608" s="8">
        <f t="shared" si="27"/>
        <v>5280</v>
      </c>
      <c r="E608" t="s">
        <v>178</v>
      </c>
      <c r="F608">
        <v>4.5999999999999996</v>
      </c>
      <c r="G608" t="s">
        <v>1853</v>
      </c>
      <c r="H608" s="11">
        <v>29413</v>
      </c>
      <c r="I608" s="6">
        <v>18300000</v>
      </c>
      <c r="J608" s="9">
        <f t="shared" si="28"/>
        <v>207954.54545454544</v>
      </c>
      <c r="K608" s="9">
        <f t="shared" si="29"/>
        <v>3465.909090909091</v>
      </c>
    </row>
    <row r="609" spans="1:11" x14ac:dyDescent="0.25">
      <c r="A609" t="s">
        <v>1854</v>
      </c>
      <c r="B609">
        <v>1996</v>
      </c>
      <c r="C609" s="8">
        <v>96</v>
      </c>
      <c r="D609" s="8">
        <f t="shared" si="27"/>
        <v>5760</v>
      </c>
      <c r="E609" t="s">
        <v>344</v>
      </c>
      <c r="F609">
        <v>4.5</v>
      </c>
      <c r="G609" t="s">
        <v>1855</v>
      </c>
      <c r="H609" s="11">
        <v>34527</v>
      </c>
      <c r="I609" s="6">
        <v>27660000</v>
      </c>
      <c r="J609" s="9">
        <f t="shared" si="28"/>
        <v>288125</v>
      </c>
      <c r="K609" s="9">
        <f t="shared" si="29"/>
        <v>4802.083333333333</v>
      </c>
    </row>
    <row r="610" spans="1:11" x14ac:dyDescent="0.25">
      <c r="A610" t="s">
        <v>1857</v>
      </c>
      <c r="B610">
        <v>2014</v>
      </c>
      <c r="C610" s="8">
        <v>89</v>
      </c>
      <c r="D610" s="8">
        <f t="shared" si="27"/>
        <v>5340</v>
      </c>
      <c r="E610" t="s">
        <v>14</v>
      </c>
      <c r="F610">
        <v>4.5</v>
      </c>
      <c r="G610" t="s">
        <v>1858</v>
      </c>
      <c r="H610" s="11">
        <v>54888</v>
      </c>
      <c r="I610" s="6">
        <v>50860000</v>
      </c>
      <c r="J610" s="9">
        <f t="shared" si="28"/>
        <v>571460.67415730341</v>
      </c>
      <c r="K610" s="9">
        <f t="shared" si="29"/>
        <v>9524.3445692883888</v>
      </c>
    </row>
    <row r="611" spans="1:11" x14ac:dyDescent="0.25">
      <c r="A611" t="s">
        <v>1860</v>
      </c>
      <c r="B611">
        <v>2017</v>
      </c>
      <c r="C611" s="8">
        <v>102</v>
      </c>
      <c r="D611" s="8">
        <f t="shared" si="27"/>
        <v>6120</v>
      </c>
      <c r="E611" t="s">
        <v>42</v>
      </c>
      <c r="F611">
        <v>4.5</v>
      </c>
      <c r="G611" t="s">
        <v>1861</v>
      </c>
      <c r="H611" s="11">
        <v>41974</v>
      </c>
      <c r="I611" s="6">
        <v>27790000</v>
      </c>
      <c r="J611" s="9">
        <f t="shared" si="28"/>
        <v>272450.98039215687</v>
      </c>
      <c r="K611" s="9">
        <f t="shared" si="29"/>
        <v>4540.8496732026142</v>
      </c>
    </row>
    <row r="612" spans="1:11" x14ac:dyDescent="0.25">
      <c r="A612" t="s">
        <v>1863</v>
      </c>
      <c r="B612">
        <v>1998</v>
      </c>
      <c r="C612" s="8">
        <v>93</v>
      </c>
      <c r="D612" s="8">
        <f t="shared" si="27"/>
        <v>5580</v>
      </c>
      <c r="E612" t="s">
        <v>325</v>
      </c>
      <c r="F612">
        <v>4.5</v>
      </c>
      <c r="G612" t="s">
        <v>353</v>
      </c>
      <c r="H612" s="11">
        <v>30268</v>
      </c>
      <c r="I612" s="6">
        <v>19170000</v>
      </c>
      <c r="J612" s="9">
        <f t="shared" si="28"/>
        <v>206129.03225806452</v>
      </c>
      <c r="K612" s="9">
        <f t="shared" si="29"/>
        <v>3435.483870967742</v>
      </c>
    </row>
    <row r="613" spans="1:11" x14ac:dyDescent="0.25">
      <c r="A613" t="s">
        <v>1864</v>
      </c>
      <c r="B613">
        <v>1989</v>
      </c>
      <c r="C613" s="8">
        <v>100</v>
      </c>
      <c r="D613" s="8">
        <f t="shared" si="27"/>
        <v>6000</v>
      </c>
      <c r="E613" t="s">
        <v>320</v>
      </c>
      <c r="F613">
        <v>4.5</v>
      </c>
      <c r="G613" t="s">
        <v>1865</v>
      </c>
      <c r="H613" s="11">
        <v>40404</v>
      </c>
      <c r="I613" s="6">
        <v>14340000</v>
      </c>
      <c r="J613" s="9">
        <f t="shared" si="28"/>
        <v>143400</v>
      </c>
      <c r="K613" s="9">
        <f t="shared" si="29"/>
        <v>2390</v>
      </c>
    </row>
    <row r="614" spans="1:11" x14ac:dyDescent="0.25">
      <c r="A614" t="s">
        <v>1867</v>
      </c>
      <c r="B614">
        <v>2009</v>
      </c>
      <c r="C614" s="8">
        <v>92</v>
      </c>
      <c r="D614" s="8">
        <f t="shared" si="27"/>
        <v>5520</v>
      </c>
      <c r="E614" t="s">
        <v>30</v>
      </c>
      <c r="F614">
        <v>4.4000000000000004</v>
      </c>
      <c r="G614" t="s">
        <v>1868</v>
      </c>
      <c r="H614" s="11">
        <v>82947</v>
      </c>
      <c r="I614" s="6">
        <v>180000</v>
      </c>
      <c r="J614" s="9">
        <f t="shared" si="28"/>
        <v>1956.5217391304348</v>
      </c>
      <c r="K614" s="9">
        <f t="shared" si="29"/>
        <v>32.608695652173914</v>
      </c>
    </row>
    <row r="615" spans="1:11" x14ac:dyDescent="0.25">
      <c r="A615" t="s">
        <v>1869</v>
      </c>
      <c r="B615">
        <v>2001</v>
      </c>
      <c r="C615" s="8">
        <v>92</v>
      </c>
      <c r="D615" s="8">
        <f t="shared" si="27"/>
        <v>5520</v>
      </c>
      <c r="E615" t="s">
        <v>325</v>
      </c>
      <c r="F615">
        <v>4.4000000000000004</v>
      </c>
      <c r="G615" t="s">
        <v>1870</v>
      </c>
      <c r="H615" s="11">
        <v>58799</v>
      </c>
      <c r="I615" s="6">
        <v>13120000</v>
      </c>
      <c r="J615" s="9">
        <f t="shared" si="28"/>
        <v>142608.69565217392</v>
      </c>
      <c r="K615" s="9">
        <f t="shared" si="29"/>
        <v>2376.8115942028985</v>
      </c>
    </row>
    <row r="616" spans="1:11" x14ac:dyDescent="0.25">
      <c r="A616" t="s">
        <v>1872</v>
      </c>
      <c r="B616">
        <v>2017</v>
      </c>
      <c r="C616" s="8">
        <v>96</v>
      </c>
      <c r="D616" s="8">
        <f t="shared" si="27"/>
        <v>5760</v>
      </c>
      <c r="E616" t="s">
        <v>28</v>
      </c>
      <c r="F616">
        <v>4.3</v>
      </c>
      <c r="G616" t="s">
        <v>1873</v>
      </c>
      <c r="H616" s="11">
        <v>25127</v>
      </c>
      <c r="I616" s="6">
        <v>22380000</v>
      </c>
      <c r="J616" s="9">
        <f t="shared" si="28"/>
        <v>233125</v>
      </c>
      <c r="K616" s="9">
        <f t="shared" si="29"/>
        <v>3885.4166666666665</v>
      </c>
    </row>
    <row r="617" spans="1:11" x14ac:dyDescent="0.25">
      <c r="A617" t="s">
        <v>1875</v>
      </c>
      <c r="B617">
        <v>2005</v>
      </c>
      <c r="C617" s="8">
        <v>89</v>
      </c>
      <c r="D617" s="8">
        <f t="shared" si="27"/>
        <v>5340</v>
      </c>
      <c r="E617" t="s">
        <v>42</v>
      </c>
      <c r="F617">
        <v>4.2</v>
      </c>
      <c r="G617" t="s">
        <v>1876</v>
      </c>
      <c r="H617" s="11">
        <v>31868</v>
      </c>
      <c r="I617" s="6">
        <v>46750000</v>
      </c>
      <c r="J617" s="9">
        <f t="shared" si="28"/>
        <v>525280.89887640451</v>
      </c>
      <c r="K617" s="9">
        <f t="shared" si="29"/>
        <v>8754.681647940075</v>
      </c>
    </row>
    <row r="618" spans="1:11" x14ac:dyDescent="0.25">
      <c r="A618" t="s">
        <v>1878</v>
      </c>
      <c r="B618">
        <v>2012</v>
      </c>
      <c r="C618" s="8">
        <v>83</v>
      </c>
      <c r="D618" s="8">
        <f t="shared" si="27"/>
        <v>4980</v>
      </c>
      <c r="E618" t="s">
        <v>30</v>
      </c>
      <c r="F618">
        <v>4.2</v>
      </c>
      <c r="G618" t="s">
        <v>1210</v>
      </c>
      <c r="H618" s="11">
        <v>36661</v>
      </c>
      <c r="I618" s="6">
        <v>53260000</v>
      </c>
      <c r="J618" s="9">
        <f t="shared" si="28"/>
        <v>641686.7469879518</v>
      </c>
      <c r="K618" s="9">
        <f t="shared" si="29"/>
        <v>10694.779116465863</v>
      </c>
    </row>
    <row r="619" spans="1:11" x14ac:dyDescent="0.25">
      <c r="A619" t="s">
        <v>1880</v>
      </c>
      <c r="B619">
        <v>1993</v>
      </c>
      <c r="C619" s="8">
        <v>87</v>
      </c>
      <c r="D619" s="8">
        <f t="shared" si="27"/>
        <v>5220</v>
      </c>
      <c r="E619" t="s">
        <v>819</v>
      </c>
      <c r="F619">
        <v>4.0999999999999996</v>
      </c>
      <c r="G619" t="s">
        <v>1881</v>
      </c>
      <c r="H619" s="11">
        <v>34519</v>
      </c>
      <c r="I619" s="6">
        <v>15940000</v>
      </c>
      <c r="J619" s="9">
        <f t="shared" si="28"/>
        <v>183218.3908045977</v>
      </c>
      <c r="K619" s="9">
        <f t="shared" si="29"/>
        <v>3053.639846743295</v>
      </c>
    </row>
    <row r="620" spans="1:11" x14ac:dyDescent="0.25">
      <c r="A620" t="s">
        <v>1883</v>
      </c>
      <c r="B620">
        <v>2011</v>
      </c>
      <c r="C620" s="8">
        <v>90</v>
      </c>
      <c r="D620" s="8">
        <f t="shared" si="27"/>
        <v>5400</v>
      </c>
      <c r="E620" t="s">
        <v>62</v>
      </c>
      <c r="F620">
        <v>4</v>
      </c>
      <c r="G620" t="s">
        <v>1073</v>
      </c>
      <c r="H620" s="11">
        <v>26648</v>
      </c>
      <c r="I620" s="6">
        <v>18870000</v>
      </c>
      <c r="J620" s="9">
        <f t="shared" si="28"/>
        <v>209666.66666666666</v>
      </c>
      <c r="K620" s="9">
        <f t="shared" si="29"/>
        <v>3494.4444444444443</v>
      </c>
    </row>
    <row r="621" spans="1:11" x14ac:dyDescent="0.25">
      <c r="A621" t="s">
        <v>1885</v>
      </c>
      <c r="B621">
        <v>2008</v>
      </c>
      <c r="C621" s="8">
        <v>87</v>
      </c>
      <c r="D621" s="8">
        <f t="shared" si="27"/>
        <v>5220</v>
      </c>
      <c r="E621" t="s">
        <v>178</v>
      </c>
      <c r="F621">
        <v>4</v>
      </c>
      <c r="G621" t="s">
        <v>1886</v>
      </c>
      <c r="H621" s="11">
        <v>33249</v>
      </c>
      <c r="I621" s="6">
        <v>26880000</v>
      </c>
      <c r="J621" s="9">
        <f t="shared" si="28"/>
        <v>308965.5172413793</v>
      </c>
      <c r="K621" s="9">
        <f t="shared" si="29"/>
        <v>5149.4252873563219</v>
      </c>
    </row>
    <row r="622" spans="1:11" x14ac:dyDescent="0.25">
      <c r="A622" t="s">
        <v>1888</v>
      </c>
      <c r="B622">
        <v>2000</v>
      </c>
      <c r="C622" s="8">
        <v>90</v>
      </c>
      <c r="D622" s="8">
        <f t="shared" si="27"/>
        <v>5400</v>
      </c>
      <c r="E622" t="s">
        <v>763</v>
      </c>
      <c r="F622">
        <v>4</v>
      </c>
      <c r="G622" t="s">
        <v>1889</v>
      </c>
      <c r="H622" s="11">
        <v>39110</v>
      </c>
      <c r="I622" s="6">
        <v>26440000</v>
      </c>
      <c r="J622" s="9">
        <f t="shared" si="28"/>
        <v>293777.77777777775</v>
      </c>
      <c r="K622" s="9">
        <f t="shared" si="29"/>
        <v>4896.2962962962965</v>
      </c>
    </row>
    <row r="623" spans="1:11" x14ac:dyDescent="0.25">
      <c r="A623" t="s">
        <v>1891</v>
      </c>
      <c r="B623">
        <v>2008</v>
      </c>
      <c r="C623" s="8">
        <v>88</v>
      </c>
      <c r="D623" s="8">
        <f t="shared" si="27"/>
        <v>5280</v>
      </c>
      <c r="E623" t="s">
        <v>30</v>
      </c>
      <c r="F623">
        <v>3.9</v>
      </c>
      <c r="G623" t="s">
        <v>1892</v>
      </c>
      <c r="H623" s="11">
        <v>36982</v>
      </c>
      <c r="I623" s="6">
        <v>43870000</v>
      </c>
      <c r="J623" s="9">
        <f t="shared" si="28"/>
        <v>498522.72727272729</v>
      </c>
      <c r="K623" s="9">
        <f t="shared" si="29"/>
        <v>8308.7121212121219</v>
      </c>
    </row>
    <row r="624" spans="1:11" x14ac:dyDescent="0.25">
      <c r="A624" t="s">
        <v>1894</v>
      </c>
      <c r="B624">
        <v>2002</v>
      </c>
      <c r="C624" s="8">
        <v>90</v>
      </c>
      <c r="D624" s="8">
        <f t="shared" si="27"/>
        <v>5400</v>
      </c>
      <c r="E624" t="s">
        <v>72</v>
      </c>
      <c r="F624">
        <v>3.9</v>
      </c>
      <c r="G624" t="s">
        <v>844</v>
      </c>
      <c r="H624" s="11">
        <v>46928</v>
      </c>
      <c r="I624" s="6">
        <v>30350000</v>
      </c>
      <c r="J624" s="9">
        <f t="shared" si="28"/>
        <v>337222.22222222225</v>
      </c>
      <c r="K624" s="9">
        <f t="shared" si="29"/>
        <v>5620.3703703703704</v>
      </c>
    </row>
    <row r="625" spans="1:11" x14ac:dyDescent="0.25">
      <c r="A625" t="s">
        <v>1895</v>
      </c>
      <c r="B625">
        <v>2012</v>
      </c>
      <c r="C625" s="8">
        <v>83</v>
      </c>
      <c r="D625" s="8">
        <f t="shared" si="27"/>
        <v>4980</v>
      </c>
      <c r="E625" t="s">
        <v>296</v>
      </c>
      <c r="F625">
        <v>3.8</v>
      </c>
      <c r="G625" t="s">
        <v>1097</v>
      </c>
      <c r="H625" s="11">
        <v>44248</v>
      </c>
      <c r="I625" s="6">
        <v>380000</v>
      </c>
      <c r="J625" s="9">
        <f t="shared" si="28"/>
        <v>4578.3132530120483</v>
      </c>
      <c r="K625" s="9">
        <f t="shared" si="29"/>
        <v>76.305220883534133</v>
      </c>
    </row>
    <row r="626" spans="1:11" x14ac:dyDescent="0.25">
      <c r="A626" t="s">
        <v>1896</v>
      </c>
      <c r="B626">
        <v>2011</v>
      </c>
      <c r="C626" s="8">
        <v>91</v>
      </c>
      <c r="D626" s="8">
        <f t="shared" si="27"/>
        <v>5460</v>
      </c>
      <c r="E626" t="s">
        <v>30</v>
      </c>
      <c r="F626">
        <v>3.8</v>
      </c>
      <c r="G626" t="s">
        <v>1868</v>
      </c>
      <c r="H626" s="11">
        <v>40950</v>
      </c>
      <c r="I626" s="6">
        <v>120000</v>
      </c>
      <c r="J626" s="9">
        <f t="shared" si="28"/>
        <v>1318.6813186813188</v>
      </c>
      <c r="K626" s="9">
        <f t="shared" si="29"/>
        <v>21.978021978021978</v>
      </c>
    </row>
    <row r="627" spans="1:11" x14ac:dyDescent="0.25">
      <c r="A627" t="s">
        <v>174</v>
      </c>
      <c r="B627">
        <v>2006</v>
      </c>
      <c r="C627" s="8">
        <v>102</v>
      </c>
      <c r="D627" s="8">
        <f t="shared" si="27"/>
        <v>6120</v>
      </c>
      <c r="E627" t="s">
        <v>14</v>
      </c>
      <c r="F627">
        <v>3.8</v>
      </c>
      <c r="G627" t="s">
        <v>1898</v>
      </c>
      <c r="H627" s="11">
        <v>69700</v>
      </c>
      <c r="I627" s="6">
        <v>23640000</v>
      </c>
      <c r="J627" s="9">
        <f t="shared" si="28"/>
        <v>231764.70588235295</v>
      </c>
      <c r="K627" s="9">
        <f t="shared" si="29"/>
        <v>3862.7450980392155</v>
      </c>
    </row>
    <row r="628" spans="1:11" x14ac:dyDescent="0.25">
      <c r="A628" t="s">
        <v>1900</v>
      </c>
      <c r="B628">
        <v>1977</v>
      </c>
      <c r="C628" s="8">
        <v>117</v>
      </c>
      <c r="D628" s="8">
        <f t="shared" si="27"/>
        <v>7020</v>
      </c>
      <c r="E628" t="s">
        <v>30</v>
      </c>
      <c r="F628">
        <v>3.8</v>
      </c>
      <c r="G628" t="s">
        <v>1901</v>
      </c>
      <c r="H628" s="11">
        <v>25949</v>
      </c>
      <c r="I628" s="6">
        <v>30750000</v>
      </c>
      <c r="J628" s="9">
        <f t="shared" si="28"/>
        <v>262820.51282051281</v>
      </c>
      <c r="K628" s="9">
        <f t="shared" si="29"/>
        <v>4380.3418803418799</v>
      </c>
    </row>
    <row r="629" spans="1:11" x14ac:dyDescent="0.25">
      <c r="A629" t="s">
        <v>1903</v>
      </c>
      <c r="B629">
        <v>1983</v>
      </c>
      <c r="C629" s="8">
        <v>99</v>
      </c>
      <c r="D629" s="8">
        <f t="shared" si="27"/>
        <v>5940</v>
      </c>
      <c r="E629" t="s">
        <v>320</v>
      </c>
      <c r="F629">
        <v>3.7</v>
      </c>
      <c r="G629" t="s">
        <v>1904</v>
      </c>
      <c r="H629" s="11">
        <v>46082</v>
      </c>
      <c r="I629" s="6">
        <v>45520000</v>
      </c>
      <c r="J629" s="9">
        <f t="shared" si="28"/>
        <v>459797.97979797982</v>
      </c>
      <c r="K629" s="9">
        <f t="shared" si="29"/>
        <v>7663.2996632996637</v>
      </c>
    </row>
    <row r="630" spans="1:11" x14ac:dyDescent="0.25">
      <c r="A630" t="s">
        <v>581</v>
      </c>
      <c r="B630">
        <v>2005</v>
      </c>
      <c r="C630" s="8">
        <v>100</v>
      </c>
      <c r="D630" s="8">
        <f t="shared" si="27"/>
        <v>6000</v>
      </c>
      <c r="E630" t="s">
        <v>178</v>
      </c>
      <c r="F630">
        <v>3.7</v>
      </c>
      <c r="G630" t="s">
        <v>1120</v>
      </c>
      <c r="H630" s="11">
        <v>38246</v>
      </c>
      <c r="I630" s="6">
        <v>29510000</v>
      </c>
      <c r="J630" s="9">
        <f t="shared" si="28"/>
        <v>295100</v>
      </c>
      <c r="K630" s="9">
        <f t="shared" si="29"/>
        <v>4918.333333333333</v>
      </c>
    </row>
    <row r="631" spans="1:11" x14ac:dyDescent="0.25">
      <c r="A631" t="s">
        <v>1907</v>
      </c>
      <c r="B631">
        <v>2007</v>
      </c>
      <c r="C631" s="8">
        <v>105</v>
      </c>
      <c r="D631" s="8">
        <f t="shared" si="27"/>
        <v>6300</v>
      </c>
      <c r="E631" t="s">
        <v>14</v>
      </c>
      <c r="F631">
        <v>3.6</v>
      </c>
      <c r="G631" t="s">
        <v>1908</v>
      </c>
      <c r="H631" s="11">
        <v>30446</v>
      </c>
      <c r="I631" s="6">
        <v>7500000</v>
      </c>
      <c r="J631" s="9">
        <f t="shared" si="28"/>
        <v>71428.571428571435</v>
      </c>
      <c r="K631" s="9">
        <f t="shared" si="29"/>
        <v>1190.4761904761904</v>
      </c>
    </row>
    <row r="632" spans="1:11" x14ac:dyDescent="0.25">
      <c r="A632" t="s">
        <v>1910</v>
      </c>
      <c r="B632">
        <v>2013</v>
      </c>
      <c r="C632" s="8">
        <v>86</v>
      </c>
      <c r="D632" s="8">
        <f t="shared" si="27"/>
        <v>5160</v>
      </c>
      <c r="E632" t="s">
        <v>44</v>
      </c>
      <c r="F632">
        <v>3.5</v>
      </c>
      <c r="G632" t="s">
        <v>1911</v>
      </c>
      <c r="H632" s="11">
        <v>74534</v>
      </c>
      <c r="I632" s="6">
        <v>32020000</v>
      </c>
      <c r="J632" s="9">
        <f t="shared" si="28"/>
        <v>372325.58139534883</v>
      </c>
      <c r="K632" s="9">
        <f t="shared" si="29"/>
        <v>6205.426356589147</v>
      </c>
    </row>
    <row r="633" spans="1:11" x14ac:dyDescent="0.25">
      <c r="A633" t="s">
        <v>1913</v>
      </c>
      <c r="B633">
        <v>2010</v>
      </c>
      <c r="C633" s="8">
        <v>82</v>
      </c>
      <c r="D633" s="8">
        <f t="shared" si="27"/>
        <v>4920</v>
      </c>
      <c r="E633" t="s">
        <v>44</v>
      </c>
      <c r="F633">
        <v>3.4</v>
      </c>
      <c r="G633" t="s">
        <v>1914</v>
      </c>
      <c r="H633" s="11">
        <v>50206</v>
      </c>
      <c r="I633" s="6">
        <v>36660000</v>
      </c>
      <c r="J633" s="9">
        <f t="shared" si="28"/>
        <v>447073.1707317073</v>
      </c>
      <c r="K633" s="9">
        <f t="shared" si="29"/>
        <v>7451.2195121951218</v>
      </c>
    </row>
    <row r="634" spans="1:11" x14ac:dyDescent="0.25">
      <c r="A634" t="s">
        <v>1916</v>
      </c>
      <c r="B634">
        <v>2018</v>
      </c>
      <c r="C634" s="8">
        <v>93</v>
      </c>
      <c r="D634" s="8">
        <f t="shared" si="27"/>
        <v>5580</v>
      </c>
      <c r="E634" t="s">
        <v>14</v>
      </c>
      <c r="F634">
        <v>3.2</v>
      </c>
      <c r="G634" t="s">
        <v>1917</v>
      </c>
      <c r="H634" s="11">
        <v>36238</v>
      </c>
      <c r="I634" s="6">
        <v>30570000</v>
      </c>
      <c r="J634" s="9">
        <f t="shared" si="28"/>
        <v>328709.67741935485</v>
      </c>
      <c r="K634" s="9">
        <f t="shared" si="29"/>
        <v>5478.4946236559135</v>
      </c>
    </row>
    <row r="635" spans="1:11" x14ac:dyDescent="0.25">
      <c r="A635" t="s">
        <v>1918</v>
      </c>
      <c r="B635">
        <v>1987</v>
      </c>
      <c r="C635" s="8">
        <v>89</v>
      </c>
      <c r="D635" s="8">
        <f t="shared" si="27"/>
        <v>5340</v>
      </c>
      <c r="E635" t="s">
        <v>320</v>
      </c>
      <c r="F635">
        <v>3</v>
      </c>
      <c r="G635" t="s">
        <v>1919</v>
      </c>
      <c r="H635" s="11">
        <v>47708</v>
      </c>
      <c r="I635" s="6">
        <v>20760000</v>
      </c>
      <c r="J635" s="9">
        <f t="shared" si="28"/>
        <v>233258.42696629214</v>
      </c>
      <c r="K635" s="9">
        <f t="shared" si="29"/>
        <v>3887.6404494382023</v>
      </c>
    </row>
    <row r="636" spans="1:11" x14ac:dyDescent="0.25">
      <c r="A636" t="s">
        <v>1921</v>
      </c>
      <c r="B636">
        <v>2005</v>
      </c>
      <c r="C636" s="8">
        <v>95</v>
      </c>
      <c r="D636" s="8">
        <f t="shared" si="27"/>
        <v>5700</v>
      </c>
      <c r="E636" t="s">
        <v>438</v>
      </c>
      <c r="F636">
        <v>3</v>
      </c>
      <c r="G636" t="s">
        <v>1922</v>
      </c>
      <c r="H636" s="11">
        <v>36527</v>
      </c>
      <c r="I636" s="6">
        <v>2410000</v>
      </c>
      <c r="J636" s="9">
        <f t="shared" si="28"/>
        <v>25368.42105263158</v>
      </c>
      <c r="K636" s="9">
        <f t="shared" si="29"/>
        <v>422.80701754385967</v>
      </c>
    </row>
    <row r="637" spans="1:11" x14ac:dyDescent="0.25">
      <c r="A637" t="s">
        <v>1924</v>
      </c>
      <c r="B637">
        <v>2005</v>
      </c>
      <c r="C637" s="8">
        <v>96</v>
      </c>
      <c r="D637" s="8">
        <f t="shared" si="27"/>
        <v>5760</v>
      </c>
      <c r="E637" t="s">
        <v>325</v>
      </c>
      <c r="F637">
        <v>2.4</v>
      </c>
      <c r="G637" t="s">
        <v>1922</v>
      </c>
      <c r="H637" s="11">
        <v>46403</v>
      </c>
      <c r="I637" s="6">
        <v>5180000</v>
      </c>
      <c r="J637" s="9">
        <f t="shared" si="28"/>
        <v>53958.333333333336</v>
      </c>
      <c r="K637" s="9">
        <f t="shared" si="29"/>
        <v>899.30555555555554</v>
      </c>
    </row>
    <row r="638" spans="1:11" x14ac:dyDescent="0.25">
      <c r="A638" t="s">
        <v>1926</v>
      </c>
      <c r="B638">
        <v>2003</v>
      </c>
      <c r="C638" s="8">
        <v>90</v>
      </c>
      <c r="D638" s="8">
        <f t="shared" si="27"/>
        <v>5400</v>
      </c>
      <c r="E638" t="s">
        <v>62</v>
      </c>
      <c r="F638">
        <v>2.1</v>
      </c>
      <c r="G638" t="s">
        <v>1922</v>
      </c>
      <c r="H638" s="11">
        <v>38041</v>
      </c>
      <c r="I638" s="6">
        <v>10250000</v>
      </c>
      <c r="J638" s="9">
        <f t="shared" si="28"/>
        <v>113888.88888888889</v>
      </c>
      <c r="K638" s="9">
        <f t="shared" si="29"/>
        <v>1898.148148148148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Analzed Data</vt:lpstr>
      <vt:lpstr>Financial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E560</dc:creator>
  <cp:lastModifiedBy>Abduljabbar Nuhu</cp:lastModifiedBy>
  <dcterms:created xsi:type="dcterms:W3CDTF">2023-07-18T15:14:14Z</dcterms:created>
  <dcterms:modified xsi:type="dcterms:W3CDTF">2023-10-23T15:44:57Z</dcterms:modified>
</cp:coreProperties>
</file>